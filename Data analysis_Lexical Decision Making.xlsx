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b6dac49258289e/Desktop/PSY310/Lexical Decision Making/"/>
    </mc:Choice>
  </mc:AlternateContent>
  <xr:revisionPtr revIDLastSave="288" documentId="8_{2BBE7AFB-4B95-44AA-AE16-C28DB45EE258}" xr6:coauthVersionLast="47" xr6:coauthVersionMax="47" xr10:uidLastSave="{35563070-C67D-4AE7-B41D-370D0FA071EA}"/>
  <bookViews>
    <workbookView xWindow="-110" yWindow="-110" windowWidth="19420" windowHeight="11500" activeTab="5" xr2:uid="{B702C112-3724-4FE9-8B3A-A7230A9B2146}"/>
  </bookViews>
  <sheets>
    <sheet name="P01" sheetId="1" r:id="rId1"/>
    <sheet name="P02" sheetId="3" r:id="rId2"/>
    <sheet name="P03" sheetId="4" r:id="rId3"/>
    <sheet name="P04" sheetId="5" r:id="rId4"/>
    <sheet name="P05" sheetId="6" r:id="rId5"/>
    <sheet name="Grp Stats" sheetId="7" r:id="rId6"/>
  </sheets>
  <definedNames>
    <definedName name="_xlnm._FilterDatabase" localSheetId="0" hidden="1">'P01'!$B$1:$B$201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7" l="1"/>
  <c r="I18" i="7"/>
  <c r="G19" i="7"/>
  <c r="G18" i="7"/>
  <c r="F19" i="7"/>
  <c r="F18" i="7"/>
  <c r="C19" i="7"/>
  <c r="C18" i="7"/>
  <c r="D19" i="7"/>
  <c r="E19" i="7" s="1"/>
  <c r="D18" i="7"/>
  <c r="J7" i="1"/>
  <c r="E18" i="7" l="1"/>
  <c r="H18" i="7"/>
  <c r="H19" i="7"/>
  <c r="J12" i="6"/>
  <c r="J11" i="6"/>
  <c r="J12" i="5"/>
  <c r="J11" i="5"/>
  <c r="J12" i="4"/>
  <c r="J11" i="4"/>
  <c r="J12" i="3"/>
  <c r="J11" i="3"/>
  <c r="J12" i="1"/>
  <c r="J11" i="1"/>
  <c r="K8" i="6"/>
  <c r="J8" i="6"/>
  <c r="K7" i="6"/>
  <c r="J7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" i="6"/>
  <c r="K8" i="5"/>
  <c r="J8" i="5"/>
  <c r="K7" i="5"/>
  <c r="J7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" i="5"/>
  <c r="K8" i="4"/>
  <c r="J8" i="4"/>
  <c r="K7" i="4"/>
  <c r="J7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" i="4"/>
  <c r="K8" i="3"/>
  <c r="J8" i="3"/>
  <c r="K7" i="3"/>
  <c r="J7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" i="3"/>
  <c r="K8" i="1"/>
  <c r="K7" i="1"/>
  <c r="J8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" i="1"/>
</calcChain>
</file>

<file path=xl/sharedStrings.xml><?xml version="1.0" encoding="utf-8"?>
<sst xmlns="http://schemas.openxmlformats.org/spreadsheetml/2006/main" count="4127" uniqueCount="55">
  <si>
    <t>stimulus</t>
  </si>
  <si>
    <t>type</t>
  </si>
  <si>
    <t>correct_key</t>
  </si>
  <si>
    <t>resp.keys</t>
  </si>
  <si>
    <t>resp.corr</t>
  </si>
  <si>
    <t>resp.rt</t>
  </si>
  <si>
    <t>window</t>
  </si>
  <si>
    <t>word</t>
  </si>
  <si>
    <t>z</t>
  </si>
  <si>
    <t>plome</t>
  </si>
  <si>
    <t>nonword</t>
  </si>
  <si>
    <t>m</t>
  </si>
  <si>
    <t>market</t>
  </si>
  <si>
    <t>yellow</t>
  </si>
  <si>
    <t>trallip</t>
  </si>
  <si>
    <t>silver</t>
  </si>
  <si>
    <t>smode</t>
  </si>
  <si>
    <t>drent</t>
  </si>
  <si>
    <t>apple</t>
  </si>
  <si>
    <t>bottle</t>
  </si>
  <si>
    <t>glenter</t>
  </si>
  <si>
    <t>fradge</t>
  </si>
  <si>
    <t>doctor</t>
  </si>
  <si>
    <t>clope</t>
  </si>
  <si>
    <t>pillow</t>
  </si>
  <si>
    <t>snarp</t>
  </si>
  <si>
    <t>flirp</t>
  </si>
  <si>
    <t>river</t>
  </si>
  <si>
    <t>brantle</t>
  </si>
  <si>
    <t>garden</t>
  </si>
  <si>
    <t>RT (in ms)</t>
  </si>
  <si>
    <t>Type</t>
  </si>
  <si>
    <t>Mean Accuracy (%)</t>
  </si>
  <si>
    <t xml:space="preserve">Error Count </t>
  </si>
  <si>
    <t>Word</t>
  </si>
  <si>
    <t>Non-word</t>
  </si>
  <si>
    <t xml:space="preserve">Type </t>
  </si>
  <si>
    <t xml:space="preserve">Mean RT </t>
  </si>
  <si>
    <t>Non- word</t>
  </si>
  <si>
    <t>Participant</t>
  </si>
  <si>
    <t>Error Count</t>
  </si>
  <si>
    <t>P1</t>
  </si>
  <si>
    <t>P2</t>
  </si>
  <si>
    <t>P3</t>
  </si>
  <si>
    <t>P4</t>
  </si>
  <si>
    <t>P5</t>
  </si>
  <si>
    <t xml:space="preserve">Mean RT 's </t>
  </si>
  <si>
    <t>Non- Word</t>
  </si>
  <si>
    <t xml:space="preserve">Word </t>
  </si>
  <si>
    <t xml:space="preserve">SD Accuracy </t>
  </si>
  <si>
    <t>SD RT</t>
  </si>
  <si>
    <t>CV RT</t>
  </si>
  <si>
    <t>CV Accuracy</t>
  </si>
  <si>
    <t>Mean RT</t>
  </si>
  <si>
    <t xml:space="preserve">Total Error count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</si>
</sst>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D2A24-A709-41CE-9625-42201B908491}">
  <dimension ref="A1:K201"/>
  <sheetViews>
    <sheetView workbookViewId="0">
      <selection activeCell="J8" sqref="J8"/>
    </sheetView>
  </sheetViews>
  <sheetFormatPr defaultRowHeight="14.5" x14ac:dyDescent="0.35"/>
  <cols>
    <col min="1" max="9" width="11.1796875" customWidth="1"/>
    <col min="10" max="10" width="17.1796875" customWidth="1"/>
    <col min="11" max="47" width="11.179687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30</v>
      </c>
    </row>
    <row r="2" spans="1:11" x14ac:dyDescent="0.35">
      <c r="A2" s="1" t="s">
        <v>6</v>
      </c>
      <c r="B2" s="1" t="s">
        <v>7</v>
      </c>
      <c r="C2" s="1" t="s">
        <v>8</v>
      </c>
      <c r="D2" s="1" t="s">
        <v>8</v>
      </c>
      <c r="E2" s="1">
        <v>1</v>
      </c>
      <c r="F2" s="1">
        <v>3.0266121999993598</v>
      </c>
      <c r="G2" s="1">
        <f>F2*1000</f>
        <v>3026.6121999993597</v>
      </c>
    </row>
    <row r="3" spans="1:11" x14ac:dyDescent="0.35">
      <c r="A3" s="1" t="s">
        <v>9</v>
      </c>
      <c r="B3" s="1" t="s">
        <v>10</v>
      </c>
      <c r="C3" s="1" t="s">
        <v>11</v>
      </c>
      <c r="D3" s="1" t="s">
        <v>8</v>
      </c>
      <c r="E3" s="1">
        <v>0</v>
      </c>
      <c r="F3" s="1">
        <v>1.0187688999994799</v>
      </c>
      <c r="G3" s="1">
        <f t="shared" ref="G3:G66" si="0">F3*1000</f>
        <v>1018.7688999994799</v>
      </c>
    </row>
    <row r="4" spans="1:11" x14ac:dyDescent="0.35">
      <c r="A4" s="1" t="s">
        <v>12</v>
      </c>
      <c r="B4" s="1" t="s">
        <v>7</v>
      </c>
      <c r="C4" s="1" t="s">
        <v>8</v>
      </c>
      <c r="D4" s="1" t="s">
        <v>8</v>
      </c>
      <c r="E4" s="1">
        <v>1</v>
      </c>
      <c r="F4" s="1">
        <v>0.55699980000008498</v>
      </c>
      <c r="G4" s="1">
        <f t="shared" si="0"/>
        <v>556.99980000008497</v>
      </c>
    </row>
    <row r="5" spans="1:11" x14ac:dyDescent="0.35">
      <c r="A5" s="1" t="s">
        <v>13</v>
      </c>
      <c r="B5" s="1" t="s">
        <v>7</v>
      </c>
      <c r="C5" s="1" t="s">
        <v>8</v>
      </c>
      <c r="D5" s="1" t="s">
        <v>8</v>
      </c>
      <c r="E5" s="1">
        <v>1</v>
      </c>
      <c r="F5" s="1">
        <v>0.51535150000017804</v>
      </c>
      <c r="G5" s="1">
        <f t="shared" si="0"/>
        <v>515.35150000017802</v>
      </c>
    </row>
    <row r="6" spans="1:11" x14ac:dyDescent="0.35">
      <c r="A6" s="1" t="s">
        <v>14</v>
      </c>
      <c r="B6" s="1" t="s">
        <v>10</v>
      </c>
      <c r="C6" s="1" t="s">
        <v>11</v>
      </c>
      <c r="D6" s="1" t="s">
        <v>8</v>
      </c>
      <c r="E6" s="1">
        <v>0</v>
      </c>
      <c r="F6" s="1">
        <v>0.76273949999995205</v>
      </c>
      <c r="G6" s="1">
        <f t="shared" si="0"/>
        <v>762.73949999995205</v>
      </c>
      <c r="I6" s="1" t="s">
        <v>31</v>
      </c>
      <c r="J6" s="1" t="s">
        <v>32</v>
      </c>
      <c r="K6" s="1" t="s">
        <v>33</v>
      </c>
    </row>
    <row r="7" spans="1:11" x14ac:dyDescent="0.35">
      <c r="A7" s="1" t="s">
        <v>15</v>
      </c>
      <c r="B7" s="1" t="s">
        <v>7</v>
      </c>
      <c r="C7" s="1" t="s">
        <v>8</v>
      </c>
      <c r="D7" s="1" t="s">
        <v>8</v>
      </c>
      <c r="E7" s="1">
        <v>1</v>
      </c>
      <c r="F7" s="1">
        <v>0.73622450000038897</v>
      </c>
      <c r="G7" s="1">
        <f t="shared" si="0"/>
        <v>736.22450000038896</v>
      </c>
      <c r="I7" s="1" t="s">
        <v>34</v>
      </c>
      <c r="J7" s="1">
        <f>AVERAGEIF(B1:B201,"word",E1:E201)*100</f>
        <v>99</v>
      </c>
      <c r="K7" s="1">
        <f>COUNTIFS(B1:B201,"word",E1:E201,0)</f>
        <v>1</v>
      </c>
    </row>
    <row r="8" spans="1:11" x14ac:dyDescent="0.35">
      <c r="A8" s="1" t="s">
        <v>16</v>
      </c>
      <c r="B8" s="1" t="s">
        <v>10</v>
      </c>
      <c r="C8" s="1" t="s">
        <v>11</v>
      </c>
      <c r="D8" s="1" t="s">
        <v>11</v>
      </c>
      <c r="E8" s="1">
        <v>1</v>
      </c>
      <c r="F8" s="1">
        <v>1.7696832999999901</v>
      </c>
      <c r="G8" s="1">
        <f t="shared" si="0"/>
        <v>1769.6832999999901</v>
      </c>
      <c r="I8" s="1" t="s">
        <v>35</v>
      </c>
      <c r="J8" s="1">
        <f>AVERAGEIF(B1:B201,"nonword",E1:E201)*100</f>
        <v>42</v>
      </c>
      <c r="K8" s="1">
        <f>COUNTIFS(B1:B201,"nonword",E1:E201,0)</f>
        <v>58</v>
      </c>
    </row>
    <row r="9" spans="1:11" x14ac:dyDescent="0.35">
      <c r="A9" s="1" t="s">
        <v>17</v>
      </c>
      <c r="B9" s="1" t="s">
        <v>10</v>
      </c>
      <c r="C9" s="1" t="s">
        <v>11</v>
      </c>
      <c r="D9" s="1" t="s">
        <v>11</v>
      </c>
      <c r="E9" s="1">
        <v>1</v>
      </c>
      <c r="F9" s="1">
        <v>1.0215681999998101</v>
      </c>
      <c r="G9" s="1">
        <f t="shared" si="0"/>
        <v>1021.5681999998101</v>
      </c>
    </row>
    <row r="10" spans="1:11" x14ac:dyDescent="0.35">
      <c r="A10" s="1" t="s">
        <v>18</v>
      </c>
      <c r="B10" s="1" t="s">
        <v>7</v>
      </c>
      <c r="C10" s="1" t="s">
        <v>8</v>
      </c>
      <c r="D10" s="1" t="s">
        <v>8</v>
      </c>
      <c r="E10" s="1">
        <v>1</v>
      </c>
      <c r="F10" s="1">
        <v>0.56575450000036598</v>
      </c>
      <c r="G10" s="1">
        <f t="shared" si="0"/>
        <v>565.75450000036597</v>
      </c>
      <c r="I10" s="1" t="s">
        <v>36</v>
      </c>
      <c r="J10" s="1" t="s">
        <v>37</v>
      </c>
    </row>
    <row r="11" spans="1:11" x14ac:dyDescent="0.35">
      <c r="A11" s="1" t="s">
        <v>19</v>
      </c>
      <c r="B11" s="1" t="s">
        <v>7</v>
      </c>
      <c r="C11" s="1" t="s">
        <v>8</v>
      </c>
      <c r="D11" s="1" t="s">
        <v>8</v>
      </c>
      <c r="E11" s="1">
        <v>1</v>
      </c>
      <c r="F11" s="1">
        <v>0.51625039999998901</v>
      </c>
      <c r="G11" s="1">
        <f t="shared" si="0"/>
        <v>516.25039999998899</v>
      </c>
      <c r="I11" s="1" t="s">
        <v>34</v>
      </c>
      <c r="J11" s="1">
        <f>AVERAGEIF(B1:B201,"word",F1:F201)</f>
        <v>0.87045952399998783</v>
      </c>
    </row>
    <row r="12" spans="1:11" x14ac:dyDescent="0.35">
      <c r="A12" s="1" t="s">
        <v>20</v>
      </c>
      <c r="B12" s="1" t="s">
        <v>10</v>
      </c>
      <c r="C12" s="1" t="s">
        <v>11</v>
      </c>
      <c r="D12" s="1" t="s">
        <v>8</v>
      </c>
      <c r="E12" s="1">
        <v>0</v>
      </c>
      <c r="F12" s="1">
        <v>0.46157350000066799</v>
      </c>
      <c r="G12" s="1">
        <f t="shared" si="0"/>
        <v>461.57350000066799</v>
      </c>
      <c r="I12" s="1" t="s">
        <v>38</v>
      </c>
      <c r="J12" s="1">
        <f>AVERAGEIF(B1:B201,"nonword",F1:F201)</f>
        <v>1.1417747070000117</v>
      </c>
    </row>
    <row r="13" spans="1:11" x14ac:dyDescent="0.35">
      <c r="A13" s="1" t="s">
        <v>21</v>
      </c>
      <c r="B13" s="1" t="s">
        <v>10</v>
      </c>
      <c r="C13" s="1" t="s">
        <v>11</v>
      </c>
      <c r="D13" s="1" t="s">
        <v>11</v>
      </c>
      <c r="E13" s="1">
        <v>1</v>
      </c>
      <c r="F13" s="1">
        <v>1.17659559999992</v>
      </c>
      <c r="G13" s="1">
        <f t="shared" si="0"/>
        <v>1176.5955999999201</v>
      </c>
    </row>
    <row r="14" spans="1:11" x14ac:dyDescent="0.35">
      <c r="A14" s="1" t="s">
        <v>22</v>
      </c>
      <c r="B14" s="1" t="s">
        <v>7</v>
      </c>
      <c r="C14" s="1" t="s">
        <v>8</v>
      </c>
      <c r="D14" s="1" t="s">
        <v>8</v>
      </c>
      <c r="E14" s="1">
        <v>1</v>
      </c>
      <c r="F14" s="1">
        <v>3.5538851999999599</v>
      </c>
      <c r="G14" s="1">
        <f t="shared" si="0"/>
        <v>3553.8851999999597</v>
      </c>
    </row>
    <row r="15" spans="1:11" x14ac:dyDescent="0.35">
      <c r="A15" s="1" t="s">
        <v>23</v>
      </c>
      <c r="B15" s="1" t="s">
        <v>10</v>
      </c>
      <c r="C15" s="1" t="s">
        <v>11</v>
      </c>
      <c r="D15" s="1" t="s">
        <v>8</v>
      </c>
      <c r="E15" s="1">
        <v>0</v>
      </c>
      <c r="F15" s="1">
        <v>1.83760849999998</v>
      </c>
      <c r="G15" s="1">
        <f t="shared" si="0"/>
        <v>1837.60849999998</v>
      </c>
    </row>
    <row r="16" spans="1:11" x14ac:dyDescent="0.35">
      <c r="A16" s="1" t="s">
        <v>24</v>
      </c>
      <c r="B16" s="1" t="s">
        <v>7</v>
      </c>
      <c r="C16" s="1" t="s">
        <v>8</v>
      </c>
      <c r="D16" s="1" t="s">
        <v>8</v>
      </c>
      <c r="E16" s="1">
        <v>1</v>
      </c>
      <c r="F16" s="1">
        <v>0.63504529999954595</v>
      </c>
      <c r="G16" s="1">
        <f t="shared" si="0"/>
        <v>635.04529999954593</v>
      </c>
    </row>
    <row r="17" spans="1:7" x14ac:dyDescent="0.35">
      <c r="A17" s="1" t="s">
        <v>25</v>
      </c>
      <c r="B17" s="1" t="s">
        <v>10</v>
      </c>
      <c r="C17" s="1" t="s">
        <v>11</v>
      </c>
      <c r="D17" s="1" t="s">
        <v>8</v>
      </c>
      <c r="E17" s="1">
        <v>0</v>
      </c>
      <c r="F17" s="1">
        <v>0.86537930000031305</v>
      </c>
      <c r="G17" s="1">
        <f t="shared" si="0"/>
        <v>865.37930000031304</v>
      </c>
    </row>
    <row r="18" spans="1:7" x14ac:dyDescent="0.35">
      <c r="A18" s="1" t="s">
        <v>26</v>
      </c>
      <c r="B18" s="1" t="s">
        <v>10</v>
      </c>
      <c r="C18" s="1" t="s">
        <v>11</v>
      </c>
      <c r="D18" s="1" t="s">
        <v>11</v>
      </c>
      <c r="E18" s="1">
        <v>1</v>
      </c>
      <c r="F18" s="1">
        <v>1.08246280000003</v>
      </c>
      <c r="G18" s="1">
        <f t="shared" si="0"/>
        <v>1082.46280000003</v>
      </c>
    </row>
    <row r="19" spans="1:7" x14ac:dyDescent="0.35">
      <c r="A19" s="1" t="s">
        <v>27</v>
      </c>
      <c r="B19" s="1" t="s">
        <v>7</v>
      </c>
      <c r="C19" s="1" t="s">
        <v>8</v>
      </c>
      <c r="D19" s="1" t="s">
        <v>8</v>
      </c>
      <c r="E19" s="1">
        <v>1</v>
      </c>
      <c r="F19" s="1">
        <v>0.59918319999997005</v>
      </c>
      <c r="G19" s="1">
        <f t="shared" si="0"/>
        <v>599.18319999997004</v>
      </c>
    </row>
    <row r="20" spans="1:7" x14ac:dyDescent="0.35">
      <c r="A20" s="1" t="s">
        <v>28</v>
      </c>
      <c r="B20" s="1" t="s">
        <v>10</v>
      </c>
      <c r="C20" s="1" t="s">
        <v>11</v>
      </c>
      <c r="D20" s="1" t="s">
        <v>8</v>
      </c>
      <c r="E20" s="1">
        <v>0</v>
      </c>
      <c r="F20" s="1">
        <v>2.91066339999997</v>
      </c>
      <c r="G20" s="1">
        <f t="shared" si="0"/>
        <v>2910.6633999999699</v>
      </c>
    </row>
    <row r="21" spans="1:7" x14ac:dyDescent="0.35">
      <c r="A21" s="1" t="s">
        <v>29</v>
      </c>
      <c r="B21" s="1" t="s">
        <v>7</v>
      </c>
      <c r="C21" s="1" t="s">
        <v>8</v>
      </c>
      <c r="D21" s="1" t="s">
        <v>8</v>
      </c>
      <c r="E21" s="1">
        <v>1</v>
      </c>
      <c r="F21" s="1">
        <v>0.54504869999982397</v>
      </c>
      <c r="G21" s="1">
        <f t="shared" si="0"/>
        <v>545.04869999982395</v>
      </c>
    </row>
    <row r="22" spans="1:7" x14ac:dyDescent="0.35">
      <c r="A22" s="1" t="s">
        <v>14</v>
      </c>
      <c r="B22" s="1" t="s">
        <v>10</v>
      </c>
      <c r="C22" s="1" t="s">
        <v>11</v>
      </c>
      <c r="D22" s="1" t="s">
        <v>11</v>
      </c>
      <c r="E22" s="1">
        <v>1</v>
      </c>
      <c r="F22" s="1">
        <v>2.48937459999979</v>
      </c>
      <c r="G22" s="1">
        <f t="shared" si="0"/>
        <v>2489.37459999979</v>
      </c>
    </row>
    <row r="23" spans="1:7" x14ac:dyDescent="0.35">
      <c r="A23" s="1" t="s">
        <v>17</v>
      </c>
      <c r="B23" s="1" t="s">
        <v>10</v>
      </c>
      <c r="C23" s="1" t="s">
        <v>11</v>
      </c>
      <c r="D23" s="1" t="s">
        <v>11</v>
      </c>
      <c r="E23" s="1">
        <v>1</v>
      </c>
      <c r="F23" s="1">
        <v>3.4248646000005398</v>
      </c>
      <c r="G23" s="1">
        <f t="shared" si="0"/>
        <v>3424.8646000005397</v>
      </c>
    </row>
    <row r="24" spans="1:7" x14ac:dyDescent="0.35">
      <c r="A24" s="1" t="s">
        <v>27</v>
      </c>
      <c r="B24" s="1" t="s">
        <v>7</v>
      </c>
      <c r="C24" s="1" t="s">
        <v>8</v>
      </c>
      <c r="D24" s="1" t="s">
        <v>8</v>
      </c>
      <c r="E24" s="1">
        <v>1</v>
      </c>
      <c r="F24" s="1">
        <v>0.71779779999997095</v>
      </c>
      <c r="G24" s="1">
        <f t="shared" si="0"/>
        <v>717.79779999997095</v>
      </c>
    </row>
    <row r="25" spans="1:7" x14ac:dyDescent="0.35">
      <c r="A25" s="1" t="s">
        <v>6</v>
      </c>
      <c r="B25" s="1" t="s">
        <v>7</v>
      </c>
      <c r="C25" s="1" t="s">
        <v>8</v>
      </c>
      <c r="D25" s="1" t="s">
        <v>8</v>
      </c>
      <c r="E25" s="1">
        <v>1</v>
      </c>
      <c r="F25" s="1">
        <v>3.45427840000047</v>
      </c>
      <c r="G25" s="1">
        <f t="shared" si="0"/>
        <v>3454.2784000004699</v>
      </c>
    </row>
    <row r="26" spans="1:7" x14ac:dyDescent="0.35">
      <c r="A26" s="1" t="s">
        <v>9</v>
      </c>
      <c r="B26" s="1" t="s">
        <v>10</v>
      </c>
      <c r="C26" s="1" t="s">
        <v>11</v>
      </c>
      <c r="D26" s="1" t="s">
        <v>8</v>
      </c>
      <c r="E26" s="1">
        <v>0</v>
      </c>
      <c r="F26" s="1">
        <v>0.92229349999979604</v>
      </c>
      <c r="G26" s="1">
        <f t="shared" si="0"/>
        <v>922.29349999979604</v>
      </c>
    </row>
    <row r="27" spans="1:7" x14ac:dyDescent="0.35">
      <c r="A27" s="1" t="s">
        <v>16</v>
      </c>
      <c r="B27" s="1" t="s">
        <v>10</v>
      </c>
      <c r="C27" s="1" t="s">
        <v>11</v>
      </c>
      <c r="D27" s="1" t="s">
        <v>8</v>
      </c>
      <c r="E27" s="1">
        <v>0</v>
      </c>
      <c r="F27" s="1">
        <v>0.89247209999939503</v>
      </c>
      <c r="G27" s="1">
        <f t="shared" si="0"/>
        <v>892.47209999939503</v>
      </c>
    </row>
    <row r="28" spans="1:7" x14ac:dyDescent="0.35">
      <c r="A28" s="1" t="s">
        <v>15</v>
      </c>
      <c r="B28" s="1" t="s">
        <v>7</v>
      </c>
      <c r="C28" s="1" t="s">
        <v>8</v>
      </c>
      <c r="D28" s="1" t="s">
        <v>8</v>
      </c>
      <c r="E28" s="1">
        <v>1</v>
      </c>
      <c r="F28" s="1">
        <v>0.59902559999954896</v>
      </c>
      <c r="G28" s="1">
        <f t="shared" si="0"/>
        <v>599.02559999954894</v>
      </c>
    </row>
    <row r="29" spans="1:7" x14ac:dyDescent="0.35">
      <c r="A29" s="1" t="s">
        <v>29</v>
      </c>
      <c r="B29" s="1" t="s">
        <v>7</v>
      </c>
      <c r="C29" s="1" t="s">
        <v>8</v>
      </c>
      <c r="D29" s="1" t="s">
        <v>8</v>
      </c>
      <c r="E29" s="1">
        <v>1</v>
      </c>
      <c r="F29" s="1">
        <v>0.56962810000004505</v>
      </c>
      <c r="G29" s="1">
        <f t="shared" si="0"/>
        <v>569.62810000004504</v>
      </c>
    </row>
    <row r="30" spans="1:7" x14ac:dyDescent="0.35">
      <c r="A30" s="1" t="s">
        <v>28</v>
      </c>
      <c r="B30" s="1" t="s">
        <v>10</v>
      </c>
      <c r="C30" s="1" t="s">
        <v>11</v>
      </c>
      <c r="D30" s="1" t="s">
        <v>8</v>
      </c>
      <c r="E30" s="1">
        <v>0</v>
      </c>
      <c r="F30" s="1">
        <v>0.52230689999942104</v>
      </c>
      <c r="G30" s="1">
        <f t="shared" si="0"/>
        <v>522.30689999942103</v>
      </c>
    </row>
    <row r="31" spans="1:7" x14ac:dyDescent="0.35">
      <c r="A31" s="1" t="s">
        <v>23</v>
      </c>
      <c r="B31" s="1" t="s">
        <v>10</v>
      </c>
      <c r="C31" s="1" t="s">
        <v>11</v>
      </c>
      <c r="D31" s="1" t="s">
        <v>8</v>
      </c>
      <c r="E31" s="1">
        <v>0</v>
      </c>
      <c r="F31" s="1">
        <v>0.80942390000018305</v>
      </c>
      <c r="G31" s="1">
        <f t="shared" si="0"/>
        <v>809.42390000018304</v>
      </c>
    </row>
    <row r="32" spans="1:7" x14ac:dyDescent="0.35">
      <c r="A32" s="1" t="s">
        <v>26</v>
      </c>
      <c r="B32" s="1" t="s">
        <v>10</v>
      </c>
      <c r="C32" s="1" t="s">
        <v>11</v>
      </c>
      <c r="D32" s="1" t="s">
        <v>11</v>
      </c>
      <c r="E32" s="1">
        <v>1</v>
      </c>
      <c r="F32" s="1">
        <v>0.607749699999658</v>
      </c>
      <c r="G32" s="1">
        <f t="shared" si="0"/>
        <v>607.74969999965799</v>
      </c>
    </row>
    <row r="33" spans="1:7" x14ac:dyDescent="0.35">
      <c r="A33" s="1" t="s">
        <v>25</v>
      </c>
      <c r="B33" s="1" t="s">
        <v>10</v>
      </c>
      <c r="C33" s="1" t="s">
        <v>11</v>
      </c>
      <c r="D33" s="1" t="s">
        <v>8</v>
      </c>
      <c r="E33" s="1">
        <v>0</v>
      </c>
      <c r="F33" s="1">
        <v>0.68524049999996295</v>
      </c>
      <c r="G33" s="1">
        <f t="shared" si="0"/>
        <v>685.24049999996294</v>
      </c>
    </row>
    <row r="34" spans="1:7" x14ac:dyDescent="0.35">
      <c r="A34" s="1" t="s">
        <v>19</v>
      </c>
      <c r="B34" s="1" t="s">
        <v>7</v>
      </c>
      <c r="C34" s="1" t="s">
        <v>8</v>
      </c>
      <c r="D34" s="1" t="s">
        <v>8</v>
      </c>
      <c r="E34" s="1">
        <v>1</v>
      </c>
      <c r="F34" s="1">
        <v>0.622411100000135</v>
      </c>
      <c r="G34" s="1">
        <f t="shared" si="0"/>
        <v>622.41110000013498</v>
      </c>
    </row>
    <row r="35" spans="1:7" x14ac:dyDescent="0.35">
      <c r="A35" s="1" t="s">
        <v>22</v>
      </c>
      <c r="B35" s="1" t="s">
        <v>7</v>
      </c>
      <c r="C35" s="1" t="s">
        <v>8</v>
      </c>
      <c r="D35" s="1" t="s">
        <v>8</v>
      </c>
      <c r="E35" s="1">
        <v>1</v>
      </c>
      <c r="F35" s="1">
        <v>0.55748820000007904</v>
      </c>
      <c r="G35" s="1">
        <f t="shared" si="0"/>
        <v>557.48820000007902</v>
      </c>
    </row>
    <row r="36" spans="1:7" x14ac:dyDescent="0.35">
      <c r="A36" s="1" t="s">
        <v>13</v>
      </c>
      <c r="B36" s="1" t="s">
        <v>7</v>
      </c>
      <c r="C36" s="1" t="s">
        <v>8</v>
      </c>
      <c r="D36" s="1" t="s">
        <v>8</v>
      </c>
      <c r="E36" s="1">
        <v>1</v>
      </c>
      <c r="F36" s="1">
        <v>0.90415009999924201</v>
      </c>
      <c r="G36" s="1">
        <f t="shared" si="0"/>
        <v>904.150099999242</v>
      </c>
    </row>
    <row r="37" spans="1:7" x14ac:dyDescent="0.35">
      <c r="A37" s="1" t="s">
        <v>20</v>
      </c>
      <c r="B37" s="1" t="s">
        <v>10</v>
      </c>
      <c r="C37" s="1" t="s">
        <v>11</v>
      </c>
      <c r="D37" s="1" t="s">
        <v>11</v>
      </c>
      <c r="E37" s="1">
        <v>1</v>
      </c>
      <c r="F37" s="1">
        <v>0.85388690000036105</v>
      </c>
      <c r="G37" s="1">
        <f t="shared" si="0"/>
        <v>853.88690000036104</v>
      </c>
    </row>
    <row r="38" spans="1:7" x14ac:dyDescent="0.35">
      <c r="A38" s="1" t="s">
        <v>12</v>
      </c>
      <c r="B38" s="1" t="s">
        <v>7</v>
      </c>
      <c r="C38" s="1" t="s">
        <v>8</v>
      </c>
      <c r="D38" s="1" t="s">
        <v>8</v>
      </c>
      <c r="E38" s="1">
        <v>1</v>
      </c>
      <c r="F38" s="1">
        <v>1.53539369999998</v>
      </c>
      <c r="G38" s="1">
        <f t="shared" si="0"/>
        <v>1535.3936999999801</v>
      </c>
    </row>
    <row r="39" spans="1:7" x14ac:dyDescent="0.35">
      <c r="A39" s="1" t="s">
        <v>18</v>
      </c>
      <c r="B39" s="1" t="s">
        <v>7</v>
      </c>
      <c r="C39" s="1" t="s">
        <v>8</v>
      </c>
      <c r="D39" s="1" t="s">
        <v>8</v>
      </c>
      <c r="E39" s="1">
        <v>1</v>
      </c>
      <c r="F39" s="1">
        <v>0.53752110000004905</v>
      </c>
      <c r="G39" s="1">
        <f t="shared" si="0"/>
        <v>537.52110000004905</v>
      </c>
    </row>
    <row r="40" spans="1:7" x14ac:dyDescent="0.35">
      <c r="A40" s="1" t="s">
        <v>21</v>
      </c>
      <c r="B40" s="1" t="s">
        <v>10</v>
      </c>
      <c r="C40" s="1" t="s">
        <v>11</v>
      </c>
      <c r="D40" s="1" t="s">
        <v>11</v>
      </c>
      <c r="E40" s="1">
        <v>1</v>
      </c>
      <c r="F40" s="1">
        <v>0.853369999999813</v>
      </c>
      <c r="G40" s="1">
        <f t="shared" si="0"/>
        <v>853.36999999981299</v>
      </c>
    </row>
    <row r="41" spans="1:7" x14ac:dyDescent="0.35">
      <c r="A41" s="1" t="s">
        <v>24</v>
      </c>
      <c r="B41" s="1" t="s">
        <v>7</v>
      </c>
      <c r="C41" s="1" t="s">
        <v>8</v>
      </c>
      <c r="D41" s="1" t="s">
        <v>8</v>
      </c>
      <c r="E41" s="1">
        <v>1</v>
      </c>
      <c r="F41" s="1">
        <v>0.68249339999965697</v>
      </c>
      <c r="G41" s="1">
        <f t="shared" si="0"/>
        <v>682.49339999965696</v>
      </c>
    </row>
    <row r="42" spans="1:7" x14ac:dyDescent="0.35">
      <c r="A42" s="1" t="s">
        <v>20</v>
      </c>
      <c r="B42" s="1" t="s">
        <v>10</v>
      </c>
      <c r="C42" s="1" t="s">
        <v>11</v>
      </c>
      <c r="D42" s="1" t="s">
        <v>11</v>
      </c>
      <c r="E42" s="1">
        <v>1</v>
      </c>
      <c r="F42" s="1">
        <v>1.4230311000001099</v>
      </c>
      <c r="G42" s="1">
        <f t="shared" si="0"/>
        <v>1423.03110000011</v>
      </c>
    </row>
    <row r="43" spans="1:7" x14ac:dyDescent="0.35">
      <c r="A43" s="1" t="s">
        <v>18</v>
      </c>
      <c r="B43" s="1" t="s">
        <v>7</v>
      </c>
      <c r="C43" s="1" t="s">
        <v>8</v>
      </c>
      <c r="D43" s="1" t="s">
        <v>8</v>
      </c>
      <c r="E43" s="1">
        <v>1</v>
      </c>
      <c r="F43" s="1">
        <v>0.496592300000884</v>
      </c>
      <c r="G43" s="1">
        <f t="shared" si="0"/>
        <v>496.59230000088399</v>
      </c>
    </row>
    <row r="44" spans="1:7" x14ac:dyDescent="0.35">
      <c r="A44" s="1" t="s">
        <v>9</v>
      </c>
      <c r="B44" s="1" t="s">
        <v>10</v>
      </c>
      <c r="C44" s="1" t="s">
        <v>11</v>
      </c>
      <c r="D44" s="1" t="s">
        <v>8</v>
      </c>
      <c r="E44" s="1">
        <v>0</v>
      </c>
      <c r="F44" s="1">
        <v>0.81099700000049701</v>
      </c>
      <c r="G44" s="1">
        <f t="shared" si="0"/>
        <v>810.997000000497</v>
      </c>
    </row>
    <row r="45" spans="1:7" x14ac:dyDescent="0.35">
      <c r="A45" s="1" t="s">
        <v>19</v>
      </c>
      <c r="B45" s="1" t="s">
        <v>7</v>
      </c>
      <c r="C45" s="1" t="s">
        <v>8</v>
      </c>
      <c r="D45" s="1" t="s">
        <v>8</v>
      </c>
      <c r="E45" s="1">
        <v>1</v>
      </c>
      <c r="F45" s="1">
        <v>0.69260359999952903</v>
      </c>
      <c r="G45" s="1">
        <f t="shared" si="0"/>
        <v>692.60359999952902</v>
      </c>
    </row>
    <row r="46" spans="1:7" x14ac:dyDescent="0.35">
      <c r="A46" s="1" t="s">
        <v>16</v>
      </c>
      <c r="B46" s="1" t="s">
        <v>10</v>
      </c>
      <c r="C46" s="1" t="s">
        <v>11</v>
      </c>
      <c r="D46" s="1" t="s">
        <v>8</v>
      </c>
      <c r="E46" s="1">
        <v>0</v>
      </c>
      <c r="F46" s="1">
        <v>0.69511090000014497</v>
      </c>
      <c r="G46" s="1">
        <f t="shared" si="0"/>
        <v>695.11090000014497</v>
      </c>
    </row>
    <row r="47" spans="1:7" x14ac:dyDescent="0.35">
      <c r="A47" s="1" t="s">
        <v>13</v>
      </c>
      <c r="B47" s="1" t="s">
        <v>7</v>
      </c>
      <c r="C47" s="1" t="s">
        <v>8</v>
      </c>
      <c r="D47" s="1" t="s">
        <v>8</v>
      </c>
      <c r="E47" s="1">
        <v>1</v>
      </c>
      <c r="F47" s="1">
        <v>0.564994800000022</v>
      </c>
      <c r="G47" s="1">
        <f t="shared" si="0"/>
        <v>564.994800000022</v>
      </c>
    </row>
    <row r="48" spans="1:7" x14ac:dyDescent="0.35">
      <c r="A48" s="1" t="s">
        <v>25</v>
      </c>
      <c r="B48" s="1" t="s">
        <v>10</v>
      </c>
      <c r="C48" s="1" t="s">
        <v>11</v>
      </c>
      <c r="D48" s="1" t="s">
        <v>8</v>
      </c>
      <c r="E48" s="1">
        <v>0</v>
      </c>
      <c r="F48" s="1">
        <v>0.88740340000003903</v>
      </c>
      <c r="G48" s="1">
        <f t="shared" si="0"/>
        <v>887.40340000003903</v>
      </c>
    </row>
    <row r="49" spans="1:7" x14ac:dyDescent="0.35">
      <c r="A49" s="1" t="s">
        <v>29</v>
      </c>
      <c r="B49" s="1" t="s">
        <v>7</v>
      </c>
      <c r="C49" s="1" t="s">
        <v>8</v>
      </c>
      <c r="D49" s="1" t="s">
        <v>8</v>
      </c>
      <c r="E49" s="1">
        <v>1</v>
      </c>
      <c r="F49" s="1">
        <v>0.502573400000073</v>
      </c>
      <c r="G49" s="1">
        <f t="shared" si="0"/>
        <v>502.57340000007298</v>
      </c>
    </row>
    <row r="50" spans="1:7" x14ac:dyDescent="0.35">
      <c r="A50" s="1" t="s">
        <v>15</v>
      </c>
      <c r="B50" s="1" t="s">
        <v>7</v>
      </c>
      <c r="C50" s="1" t="s">
        <v>8</v>
      </c>
      <c r="D50" s="1" t="s">
        <v>8</v>
      </c>
      <c r="E50" s="1">
        <v>1</v>
      </c>
      <c r="F50" s="1">
        <v>0.54675390000011204</v>
      </c>
      <c r="G50" s="1">
        <f t="shared" si="0"/>
        <v>546.75390000011203</v>
      </c>
    </row>
    <row r="51" spans="1:7" x14ac:dyDescent="0.35">
      <c r="A51" s="1" t="s">
        <v>21</v>
      </c>
      <c r="B51" s="1" t="s">
        <v>10</v>
      </c>
      <c r="C51" s="1" t="s">
        <v>11</v>
      </c>
      <c r="D51" s="1" t="s">
        <v>11</v>
      </c>
      <c r="E51" s="1">
        <v>1</v>
      </c>
      <c r="F51" s="1">
        <v>0.87643839999964201</v>
      </c>
      <c r="G51" s="1">
        <f t="shared" si="0"/>
        <v>876.438399999642</v>
      </c>
    </row>
    <row r="52" spans="1:7" x14ac:dyDescent="0.35">
      <c r="A52" s="1" t="s">
        <v>23</v>
      </c>
      <c r="B52" s="1" t="s">
        <v>10</v>
      </c>
      <c r="C52" s="1" t="s">
        <v>11</v>
      </c>
      <c r="D52" s="1" t="s">
        <v>8</v>
      </c>
      <c r="E52" s="1">
        <v>0</v>
      </c>
      <c r="F52" s="1">
        <v>2.6724736999994998</v>
      </c>
      <c r="G52" s="1">
        <f t="shared" si="0"/>
        <v>2672.4736999994998</v>
      </c>
    </row>
    <row r="53" spans="1:7" x14ac:dyDescent="0.35">
      <c r="A53" s="1" t="s">
        <v>6</v>
      </c>
      <c r="B53" s="1" t="s">
        <v>7</v>
      </c>
      <c r="C53" s="1" t="s">
        <v>8</v>
      </c>
      <c r="D53" s="1" t="s">
        <v>8</v>
      </c>
      <c r="E53" s="1">
        <v>1</v>
      </c>
      <c r="F53" s="1">
        <v>0.61859739999999797</v>
      </c>
      <c r="G53" s="1">
        <f t="shared" si="0"/>
        <v>618.59739999999795</v>
      </c>
    </row>
    <row r="54" spans="1:7" x14ac:dyDescent="0.35">
      <c r="A54" s="1" t="s">
        <v>27</v>
      </c>
      <c r="B54" s="1" t="s">
        <v>7</v>
      </c>
      <c r="C54" s="1" t="s">
        <v>8</v>
      </c>
      <c r="D54" s="1" t="s">
        <v>8</v>
      </c>
      <c r="E54" s="1">
        <v>1</v>
      </c>
      <c r="F54" s="1">
        <v>0.51657960000011305</v>
      </c>
      <c r="G54" s="1">
        <f t="shared" si="0"/>
        <v>516.57960000011303</v>
      </c>
    </row>
    <row r="55" spans="1:7" x14ac:dyDescent="0.35">
      <c r="A55" s="1" t="s">
        <v>28</v>
      </c>
      <c r="B55" s="1" t="s">
        <v>10</v>
      </c>
      <c r="C55" s="1" t="s">
        <v>11</v>
      </c>
      <c r="D55" s="1" t="s">
        <v>11</v>
      </c>
      <c r="E55" s="1">
        <v>1</v>
      </c>
      <c r="F55" s="1">
        <v>0.82365059999938195</v>
      </c>
      <c r="G55" s="1">
        <f t="shared" si="0"/>
        <v>823.65059999938194</v>
      </c>
    </row>
    <row r="56" spans="1:7" x14ac:dyDescent="0.35">
      <c r="A56" s="1" t="s">
        <v>12</v>
      </c>
      <c r="B56" s="1" t="s">
        <v>7</v>
      </c>
      <c r="C56" s="1" t="s">
        <v>8</v>
      </c>
      <c r="D56" s="1" t="s">
        <v>8</v>
      </c>
      <c r="E56" s="1">
        <v>1</v>
      </c>
      <c r="F56" s="1">
        <v>1.14983060000031</v>
      </c>
      <c r="G56" s="1">
        <f t="shared" si="0"/>
        <v>1149.8306000003099</v>
      </c>
    </row>
    <row r="57" spans="1:7" x14ac:dyDescent="0.35">
      <c r="A57" s="1" t="s">
        <v>24</v>
      </c>
      <c r="B57" s="1" t="s">
        <v>7</v>
      </c>
      <c r="C57" s="1" t="s">
        <v>8</v>
      </c>
      <c r="D57" s="1" t="s">
        <v>8</v>
      </c>
      <c r="E57" s="1">
        <v>1</v>
      </c>
      <c r="F57" s="1">
        <v>0.71301809999931698</v>
      </c>
      <c r="G57" s="1">
        <f t="shared" si="0"/>
        <v>713.01809999931697</v>
      </c>
    </row>
    <row r="58" spans="1:7" x14ac:dyDescent="0.35">
      <c r="A58" s="1" t="s">
        <v>17</v>
      </c>
      <c r="B58" s="1" t="s">
        <v>10</v>
      </c>
      <c r="C58" s="1" t="s">
        <v>11</v>
      </c>
      <c r="D58" s="1" t="s">
        <v>8</v>
      </c>
      <c r="E58" s="1">
        <v>0</v>
      </c>
      <c r="F58" s="1">
        <v>1.03589460000057</v>
      </c>
      <c r="G58" s="1">
        <f t="shared" si="0"/>
        <v>1035.8946000005699</v>
      </c>
    </row>
    <row r="59" spans="1:7" x14ac:dyDescent="0.35">
      <c r="A59" s="1" t="s">
        <v>26</v>
      </c>
      <c r="B59" s="1" t="s">
        <v>10</v>
      </c>
      <c r="C59" s="1" t="s">
        <v>11</v>
      </c>
      <c r="D59" s="1" t="s">
        <v>11</v>
      </c>
      <c r="E59" s="1">
        <v>1</v>
      </c>
      <c r="F59" s="1">
        <v>2.2427967000003202</v>
      </c>
      <c r="G59" s="1">
        <f t="shared" si="0"/>
        <v>2242.79670000032</v>
      </c>
    </row>
    <row r="60" spans="1:7" x14ac:dyDescent="0.35">
      <c r="A60" s="1" t="s">
        <v>14</v>
      </c>
      <c r="B60" s="1" t="s">
        <v>10</v>
      </c>
      <c r="C60" s="1" t="s">
        <v>11</v>
      </c>
      <c r="D60" s="1" t="s">
        <v>8</v>
      </c>
      <c r="E60" s="1">
        <v>0</v>
      </c>
      <c r="F60" s="1">
        <v>0.79098669999984805</v>
      </c>
      <c r="G60" s="1">
        <f t="shared" si="0"/>
        <v>790.98669999984804</v>
      </c>
    </row>
    <row r="61" spans="1:7" x14ac:dyDescent="0.35">
      <c r="A61" s="1" t="s">
        <v>22</v>
      </c>
      <c r="B61" s="1" t="s">
        <v>7</v>
      </c>
      <c r="C61" s="1" t="s">
        <v>8</v>
      </c>
      <c r="D61" s="1" t="s">
        <v>8</v>
      </c>
      <c r="E61" s="1">
        <v>1</v>
      </c>
      <c r="F61" s="1">
        <v>0.535265200000139</v>
      </c>
      <c r="G61" s="1">
        <f t="shared" si="0"/>
        <v>535.26520000013898</v>
      </c>
    </row>
    <row r="62" spans="1:7" x14ac:dyDescent="0.35">
      <c r="A62" s="1" t="s">
        <v>26</v>
      </c>
      <c r="B62" s="1" t="s">
        <v>10</v>
      </c>
      <c r="C62" s="1" t="s">
        <v>11</v>
      </c>
      <c r="D62" s="1" t="s">
        <v>11</v>
      </c>
      <c r="E62" s="1">
        <v>1</v>
      </c>
      <c r="F62" s="1">
        <v>0.79508900000018901</v>
      </c>
      <c r="G62" s="1">
        <f t="shared" si="0"/>
        <v>795.089000000189</v>
      </c>
    </row>
    <row r="63" spans="1:7" x14ac:dyDescent="0.35">
      <c r="A63" s="1" t="s">
        <v>29</v>
      </c>
      <c r="B63" s="1" t="s">
        <v>7</v>
      </c>
      <c r="C63" s="1" t="s">
        <v>8</v>
      </c>
      <c r="D63" s="1" t="s">
        <v>8</v>
      </c>
      <c r="E63" s="1">
        <v>1</v>
      </c>
      <c r="F63" s="1">
        <v>0.50830199999927494</v>
      </c>
      <c r="G63" s="1">
        <f t="shared" si="0"/>
        <v>508.30199999927493</v>
      </c>
    </row>
    <row r="64" spans="1:7" x14ac:dyDescent="0.35">
      <c r="A64" s="1" t="s">
        <v>14</v>
      </c>
      <c r="B64" s="1" t="s">
        <v>10</v>
      </c>
      <c r="C64" s="1" t="s">
        <v>11</v>
      </c>
      <c r="D64" s="1" t="s">
        <v>8</v>
      </c>
      <c r="E64" s="1">
        <v>0</v>
      </c>
      <c r="F64" s="1">
        <v>0.74048760000005098</v>
      </c>
      <c r="G64" s="1">
        <f t="shared" si="0"/>
        <v>740.48760000005097</v>
      </c>
    </row>
    <row r="65" spans="1:7" x14ac:dyDescent="0.35">
      <c r="A65" s="1" t="s">
        <v>21</v>
      </c>
      <c r="B65" s="1" t="s">
        <v>10</v>
      </c>
      <c r="C65" s="1" t="s">
        <v>11</v>
      </c>
      <c r="D65" s="1" t="s">
        <v>11</v>
      </c>
      <c r="E65" s="1">
        <v>1</v>
      </c>
      <c r="F65" s="1">
        <v>1.0444250000000399</v>
      </c>
      <c r="G65" s="1">
        <f t="shared" si="0"/>
        <v>1044.42500000004</v>
      </c>
    </row>
    <row r="66" spans="1:7" x14ac:dyDescent="0.35">
      <c r="A66" s="1" t="s">
        <v>15</v>
      </c>
      <c r="B66" s="1" t="s">
        <v>7</v>
      </c>
      <c r="C66" s="1" t="s">
        <v>8</v>
      </c>
      <c r="D66" s="1" t="s">
        <v>8</v>
      </c>
      <c r="E66" s="1">
        <v>1</v>
      </c>
      <c r="F66" s="1">
        <v>0.45392350000019999</v>
      </c>
      <c r="G66" s="1">
        <f t="shared" si="0"/>
        <v>453.92350000019997</v>
      </c>
    </row>
    <row r="67" spans="1:7" x14ac:dyDescent="0.35">
      <c r="A67" s="1" t="s">
        <v>12</v>
      </c>
      <c r="B67" s="1" t="s">
        <v>7</v>
      </c>
      <c r="C67" s="1" t="s">
        <v>8</v>
      </c>
      <c r="D67" s="1" t="s">
        <v>8</v>
      </c>
      <c r="E67" s="1">
        <v>1</v>
      </c>
      <c r="F67" s="1">
        <v>0.34677689999989503</v>
      </c>
      <c r="G67" s="1">
        <f t="shared" ref="G67:G130" si="1">F67*1000</f>
        <v>346.77689999989502</v>
      </c>
    </row>
    <row r="68" spans="1:7" x14ac:dyDescent="0.35">
      <c r="A68" s="1" t="s">
        <v>19</v>
      </c>
      <c r="B68" s="1" t="s">
        <v>7</v>
      </c>
      <c r="C68" s="1" t="s">
        <v>8</v>
      </c>
      <c r="D68" s="1" t="s">
        <v>8</v>
      </c>
      <c r="E68" s="1">
        <v>1</v>
      </c>
      <c r="F68" s="1">
        <v>0.398776899999575</v>
      </c>
      <c r="G68" s="1">
        <f t="shared" si="1"/>
        <v>398.77689999957499</v>
      </c>
    </row>
    <row r="69" spans="1:7" x14ac:dyDescent="0.35">
      <c r="A69" s="1" t="s">
        <v>28</v>
      </c>
      <c r="B69" s="1" t="s">
        <v>10</v>
      </c>
      <c r="C69" s="1" t="s">
        <v>11</v>
      </c>
      <c r="D69" s="1" t="s">
        <v>11</v>
      </c>
      <c r="E69" s="1">
        <v>1</v>
      </c>
      <c r="F69" s="1">
        <v>1.00270100000034</v>
      </c>
      <c r="G69" s="1">
        <f t="shared" si="1"/>
        <v>1002.7010000003401</v>
      </c>
    </row>
    <row r="70" spans="1:7" x14ac:dyDescent="0.35">
      <c r="A70" s="1" t="s">
        <v>25</v>
      </c>
      <c r="B70" s="1" t="s">
        <v>10</v>
      </c>
      <c r="C70" s="1" t="s">
        <v>11</v>
      </c>
      <c r="D70" s="1" t="s">
        <v>8</v>
      </c>
      <c r="E70" s="1">
        <v>0</v>
      </c>
      <c r="F70" s="1">
        <v>2.0034655999997901</v>
      </c>
      <c r="G70" s="1">
        <f t="shared" si="1"/>
        <v>2003.4655999997901</v>
      </c>
    </row>
    <row r="71" spans="1:7" x14ac:dyDescent="0.35">
      <c r="A71" s="1" t="s">
        <v>13</v>
      </c>
      <c r="B71" s="1" t="s">
        <v>7</v>
      </c>
      <c r="C71" s="1" t="s">
        <v>8</v>
      </c>
      <c r="D71" s="1" t="s">
        <v>8</v>
      </c>
      <c r="E71" s="1">
        <v>1</v>
      </c>
      <c r="F71" s="1">
        <v>0.6560743</v>
      </c>
      <c r="G71" s="1">
        <f t="shared" si="1"/>
        <v>656.07429999999999</v>
      </c>
    </row>
    <row r="72" spans="1:7" x14ac:dyDescent="0.35">
      <c r="A72" s="1" t="s">
        <v>9</v>
      </c>
      <c r="B72" s="1" t="s">
        <v>10</v>
      </c>
      <c r="C72" s="1" t="s">
        <v>11</v>
      </c>
      <c r="D72" s="1" t="s">
        <v>8</v>
      </c>
      <c r="E72" s="1">
        <v>0</v>
      </c>
      <c r="F72" s="1">
        <v>0.75201790000028201</v>
      </c>
      <c r="G72" s="1">
        <f t="shared" si="1"/>
        <v>752.017900000282</v>
      </c>
    </row>
    <row r="73" spans="1:7" x14ac:dyDescent="0.35">
      <c r="A73" s="1" t="s">
        <v>16</v>
      </c>
      <c r="B73" s="1" t="s">
        <v>10</v>
      </c>
      <c r="C73" s="1" t="s">
        <v>11</v>
      </c>
      <c r="D73" s="1" t="s">
        <v>8</v>
      </c>
      <c r="E73" s="1">
        <v>0</v>
      </c>
      <c r="F73" s="1">
        <v>0.59011769999960895</v>
      </c>
      <c r="G73" s="1">
        <f t="shared" si="1"/>
        <v>590.11769999960893</v>
      </c>
    </row>
    <row r="74" spans="1:7" x14ac:dyDescent="0.35">
      <c r="A74" s="1" t="s">
        <v>6</v>
      </c>
      <c r="B74" s="1" t="s">
        <v>7</v>
      </c>
      <c r="C74" s="1" t="s">
        <v>8</v>
      </c>
      <c r="D74" s="1" t="s">
        <v>8</v>
      </c>
      <c r="E74" s="1">
        <v>1</v>
      </c>
      <c r="F74" s="1">
        <v>1.09778359999927</v>
      </c>
      <c r="G74" s="1">
        <f t="shared" si="1"/>
        <v>1097.7835999992701</v>
      </c>
    </row>
    <row r="75" spans="1:7" x14ac:dyDescent="0.35">
      <c r="A75" s="1" t="s">
        <v>22</v>
      </c>
      <c r="B75" s="1" t="s">
        <v>7</v>
      </c>
      <c r="C75" s="1" t="s">
        <v>8</v>
      </c>
      <c r="D75" s="1" t="s">
        <v>8</v>
      </c>
      <c r="E75" s="1">
        <v>1</v>
      </c>
      <c r="F75" s="1">
        <v>0.72712250000040501</v>
      </c>
      <c r="G75" s="1">
        <f t="shared" si="1"/>
        <v>727.12250000040501</v>
      </c>
    </row>
    <row r="76" spans="1:7" x14ac:dyDescent="0.35">
      <c r="A76" s="1" t="s">
        <v>23</v>
      </c>
      <c r="B76" s="1" t="s">
        <v>10</v>
      </c>
      <c r="C76" s="1" t="s">
        <v>11</v>
      </c>
      <c r="D76" s="1" t="s">
        <v>8</v>
      </c>
      <c r="E76" s="1">
        <v>0</v>
      </c>
      <c r="F76" s="1">
        <v>0.63804780000009398</v>
      </c>
      <c r="G76" s="1">
        <f t="shared" si="1"/>
        <v>638.04780000009396</v>
      </c>
    </row>
    <row r="77" spans="1:7" x14ac:dyDescent="0.35">
      <c r="A77" s="1" t="s">
        <v>18</v>
      </c>
      <c r="B77" s="1" t="s">
        <v>7</v>
      </c>
      <c r="C77" s="1" t="s">
        <v>8</v>
      </c>
      <c r="D77" s="1" t="s">
        <v>8</v>
      </c>
      <c r="E77" s="1">
        <v>1</v>
      </c>
      <c r="F77" s="1">
        <v>1.5480777000002399</v>
      </c>
      <c r="G77" s="1">
        <f t="shared" si="1"/>
        <v>1548.0777000002399</v>
      </c>
    </row>
    <row r="78" spans="1:7" x14ac:dyDescent="0.35">
      <c r="A78" s="1" t="s">
        <v>17</v>
      </c>
      <c r="B78" s="1" t="s">
        <v>10</v>
      </c>
      <c r="C78" s="1" t="s">
        <v>11</v>
      </c>
      <c r="D78" s="1" t="s">
        <v>8</v>
      </c>
      <c r="E78" s="1">
        <v>0</v>
      </c>
      <c r="F78" s="1">
        <v>0.38854670000000602</v>
      </c>
      <c r="G78" s="1">
        <f t="shared" si="1"/>
        <v>388.54670000000601</v>
      </c>
    </row>
    <row r="79" spans="1:7" x14ac:dyDescent="0.35">
      <c r="A79" s="1" t="s">
        <v>27</v>
      </c>
      <c r="B79" s="1" t="s">
        <v>7</v>
      </c>
      <c r="C79" s="1" t="s">
        <v>8</v>
      </c>
      <c r="D79" s="1" t="s">
        <v>8</v>
      </c>
      <c r="E79" s="1">
        <v>1</v>
      </c>
      <c r="F79" s="1">
        <v>0.45402639999974698</v>
      </c>
      <c r="G79" s="1">
        <f t="shared" si="1"/>
        <v>454.02639999974696</v>
      </c>
    </row>
    <row r="80" spans="1:7" x14ac:dyDescent="0.35">
      <c r="A80" s="1" t="s">
        <v>20</v>
      </c>
      <c r="B80" s="1" t="s">
        <v>10</v>
      </c>
      <c r="C80" s="1" t="s">
        <v>11</v>
      </c>
      <c r="D80" s="1" t="s">
        <v>11</v>
      </c>
      <c r="E80" s="1">
        <v>1</v>
      </c>
      <c r="F80" s="1">
        <v>0.55413510000016597</v>
      </c>
      <c r="G80" s="1">
        <f t="shared" si="1"/>
        <v>554.13510000016595</v>
      </c>
    </row>
    <row r="81" spans="1:7" x14ac:dyDescent="0.35">
      <c r="A81" s="1" t="s">
        <v>24</v>
      </c>
      <c r="B81" s="1" t="s">
        <v>7</v>
      </c>
      <c r="C81" s="1" t="s">
        <v>8</v>
      </c>
      <c r="D81" s="1" t="s">
        <v>8</v>
      </c>
      <c r="E81" s="1">
        <v>1</v>
      </c>
      <c r="F81" s="1">
        <v>0.51240600000073699</v>
      </c>
      <c r="G81" s="1">
        <f t="shared" si="1"/>
        <v>512.40600000073698</v>
      </c>
    </row>
    <row r="82" spans="1:7" x14ac:dyDescent="0.35">
      <c r="A82" s="1" t="s">
        <v>15</v>
      </c>
      <c r="B82" s="1" t="s">
        <v>7</v>
      </c>
      <c r="C82" s="1" t="s">
        <v>8</v>
      </c>
      <c r="D82" s="1" t="s">
        <v>8</v>
      </c>
      <c r="E82" s="1">
        <v>1</v>
      </c>
      <c r="F82" s="1">
        <v>2.7030396000000101</v>
      </c>
      <c r="G82" s="1">
        <f t="shared" si="1"/>
        <v>2703.0396000000101</v>
      </c>
    </row>
    <row r="83" spans="1:7" x14ac:dyDescent="0.35">
      <c r="A83" s="1" t="s">
        <v>13</v>
      </c>
      <c r="B83" s="1" t="s">
        <v>7</v>
      </c>
      <c r="C83" s="1" t="s">
        <v>8</v>
      </c>
      <c r="D83" s="1" t="s">
        <v>8</v>
      </c>
      <c r="E83" s="1">
        <v>1</v>
      </c>
      <c r="F83" s="1">
        <v>0.46532990000014202</v>
      </c>
      <c r="G83" s="1">
        <f t="shared" si="1"/>
        <v>465.329900000142</v>
      </c>
    </row>
    <row r="84" spans="1:7" x14ac:dyDescent="0.35">
      <c r="A84" s="1" t="s">
        <v>16</v>
      </c>
      <c r="B84" s="1" t="s">
        <v>10</v>
      </c>
      <c r="C84" s="1" t="s">
        <v>11</v>
      </c>
      <c r="D84" s="1" t="s">
        <v>8</v>
      </c>
      <c r="E84" s="1">
        <v>0</v>
      </c>
      <c r="F84" s="1">
        <v>0.55128989999957401</v>
      </c>
      <c r="G84" s="1">
        <f t="shared" si="1"/>
        <v>551.289899999574</v>
      </c>
    </row>
    <row r="85" spans="1:7" x14ac:dyDescent="0.35">
      <c r="A85" s="1" t="s">
        <v>26</v>
      </c>
      <c r="B85" s="1" t="s">
        <v>10</v>
      </c>
      <c r="C85" s="1" t="s">
        <v>11</v>
      </c>
      <c r="D85" s="1" t="s">
        <v>8</v>
      </c>
      <c r="E85" s="1">
        <v>0</v>
      </c>
      <c r="F85" s="1">
        <v>0.60845680000056701</v>
      </c>
      <c r="G85" s="1">
        <f t="shared" si="1"/>
        <v>608.456800000567</v>
      </c>
    </row>
    <row r="86" spans="1:7" x14ac:dyDescent="0.35">
      <c r="A86" s="1" t="s">
        <v>29</v>
      </c>
      <c r="B86" s="1" t="s">
        <v>7</v>
      </c>
      <c r="C86" s="1" t="s">
        <v>8</v>
      </c>
      <c r="D86" s="1" t="s">
        <v>8</v>
      </c>
      <c r="E86" s="1">
        <v>1</v>
      </c>
      <c r="F86" s="1">
        <v>1.9855862999993401</v>
      </c>
      <c r="G86" s="1">
        <f t="shared" si="1"/>
        <v>1985.5862999993401</v>
      </c>
    </row>
    <row r="87" spans="1:7" x14ac:dyDescent="0.35">
      <c r="A87" s="1" t="s">
        <v>25</v>
      </c>
      <c r="B87" s="1" t="s">
        <v>10</v>
      </c>
      <c r="C87" s="1" t="s">
        <v>11</v>
      </c>
      <c r="D87" s="1" t="s">
        <v>8</v>
      </c>
      <c r="E87" s="1">
        <v>0</v>
      </c>
      <c r="F87" s="1">
        <v>0.91591960000005201</v>
      </c>
      <c r="G87" s="1">
        <f t="shared" si="1"/>
        <v>915.91960000005201</v>
      </c>
    </row>
    <row r="88" spans="1:7" x14ac:dyDescent="0.35">
      <c r="A88" s="1" t="s">
        <v>12</v>
      </c>
      <c r="B88" s="1" t="s">
        <v>7</v>
      </c>
      <c r="C88" s="1" t="s">
        <v>8</v>
      </c>
      <c r="D88" s="1" t="s">
        <v>8</v>
      </c>
      <c r="E88" s="1">
        <v>1</v>
      </c>
      <c r="F88" s="1">
        <v>0.63286950000019704</v>
      </c>
      <c r="G88" s="1">
        <f t="shared" si="1"/>
        <v>632.86950000019704</v>
      </c>
    </row>
    <row r="89" spans="1:7" x14ac:dyDescent="0.35">
      <c r="A89" s="1" t="s">
        <v>18</v>
      </c>
      <c r="B89" s="1" t="s">
        <v>7</v>
      </c>
      <c r="C89" s="1" t="s">
        <v>8</v>
      </c>
      <c r="D89" s="1" t="s">
        <v>8</v>
      </c>
      <c r="E89" s="1">
        <v>1</v>
      </c>
      <c r="F89" s="1">
        <v>0.55098619999989695</v>
      </c>
      <c r="G89" s="1">
        <f t="shared" si="1"/>
        <v>550.98619999989694</v>
      </c>
    </row>
    <row r="90" spans="1:7" x14ac:dyDescent="0.35">
      <c r="A90" s="1" t="s">
        <v>23</v>
      </c>
      <c r="B90" s="1" t="s">
        <v>10</v>
      </c>
      <c r="C90" s="1" t="s">
        <v>11</v>
      </c>
      <c r="D90" s="1" t="s">
        <v>8</v>
      </c>
      <c r="E90" s="1">
        <v>0</v>
      </c>
      <c r="F90" s="1">
        <v>0.82866379999995798</v>
      </c>
      <c r="G90" s="1">
        <f t="shared" si="1"/>
        <v>828.66379999995797</v>
      </c>
    </row>
    <row r="91" spans="1:7" x14ac:dyDescent="0.35">
      <c r="A91" s="1" t="s">
        <v>17</v>
      </c>
      <c r="B91" s="1" t="s">
        <v>10</v>
      </c>
      <c r="C91" s="1" t="s">
        <v>11</v>
      </c>
      <c r="D91" s="1" t="s">
        <v>11</v>
      </c>
      <c r="E91" s="1">
        <v>1</v>
      </c>
      <c r="F91" s="1">
        <v>0.66056120000030205</v>
      </c>
      <c r="G91" s="1">
        <f t="shared" si="1"/>
        <v>660.56120000030205</v>
      </c>
    </row>
    <row r="92" spans="1:7" x14ac:dyDescent="0.35">
      <c r="A92" s="1" t="s">
        <v>28</v>
      </c>
      <c r="B92" s="1" t="s">
        <v>10</v>
      </c>
      <c r="C92" s="1" t="s">
        <v>11</v>
      </c>
      <c r="D92" s="1" t="s">
        <v>11</v>
      </c>
      <c r="E92" s="1">
        <v>1</v>
      </c>
      <c r="F92" s="1">
        <v>1.49991070000032</v>
      </c>
      <c r="G92" s="1">
        <f t="shared" si="1"/>
        <v>1499.91070000032</v>
      </c>
    </row>
    <row r="93" spans="1:7" x14ac:dyDescent="0.35">
      <c r="A93" s="1" t="s">
        <v>21</v>
      </c>
      <c r="B93" s="1" t="s">
        <v>10</v>
      </c>
      <c r="C93" s="1" t="s">
        <v>11</v>
      </c>
      <c r="D93" s="1" t="s">
        <v>11</v>
      </c>
      <c r="E93" s="1">
        <v>1</v>
      </c>
      <c r="F93" s="1">
        <v>1.01486139999997</v>
      </c>
      <c r="G93" s="1">
        <f t="shared" si="1"/>
        <v>1014.8613999999701</v>
      </c>
    </row>
    <row r="94" spans="1:7" x14ac:dyDescent="0.35">
      <c r="A94" s="1" t="s">
        <v>24</v>
      </c>
      <c r="B94" s="1" t="s">
        <v>7</v>
      </c>
      <c r="C94" s="1" t="s">
        <v>8</v>
      </c>
      <c r="D94" s="1" t="s">
        <v>8</v>
      </c>
      <c r="E94" s="1">
        <v>1</v>
      </c>
      <c r="F94" s="1">
        <v>0.49904930000047898</v>
      </c>
      <c r="G94" s="1">
        <f t="shared" si="1"/>
        <v>499.04930000047898</v>
      </c>
    </row>
    <row r="95" spans="1:7" x14ac:dyDescent="0.35">
      <c r="A95" s="1" t="s">
        <v>19</v>
      </c>
      <c r="B95" s="1" t="s">
        <v>7</v>
      </c>
      <c r="C95" s="1" t="s">
        <v>8</v>
      </c>
      <c r="D95" s="1" t="s">
        <v>8</v>
      </c>
      <c r="E95" s="1">
        <v>1</v>
      </c>
      <c r="F95" s="1">
        <v>0.97014459999991198</v>
      </c>
      <c r="G95" s="1">
        <f t="shared" si="1"/>
        <v>970.14459999991197</v>
      </c>
    </row>
    <row r="96" spans="1:7" x14ac:dyDescent="0.35">
      <c r="A96" s="1" t="s">
        <v>9</v>
      </c>
      <c r="B96" s="1" t="s">
        <v>10</v>
      </c>
      <c r="C96" s="1" t="s">
        <v>11</v>
      </c>
      <c r="D96" s="1" t="s">
        <v>8</v>
      </c>
      <c r="E96" s="1">
        <v>0</v>
      </c>
      <c r="F96" s="1">
        <v>1.6574238000002799</v>
      </c>
      <c r="G96" s="1">
        <f t="shared" si="1"/>
        <v>1657.4238000002799</v>
      </c>
    </row>
    <row r="97" spans="1:7" x14ac:dyDescent="0.35">
      <c r="A97" s="1" t="s">
        <v>14</v>
      </c>
      <c r="B97" s="1" t="s">
        <v>10</v>
      </c>
      <c r="C97" s="1" t="s">
        <v>11</v>
      </c>
      <c r="D97" s="1" t="s">
        <v>11</v>
      </c>
      <c r="E97" s="1">
        <v>1</v>
      </c>
      <c r="F97" s="1">
        <v>1.29888930000015</v>
      </c>
      <c r="G97" s="1">
        <f t="shared" si="1"/>
        <v>1298.8893000001501</v>
      </c>
    </row>
    <row r="98" spans="1:7" x14ac:dyDescent="0.35">
      <c r="A98" s="1" t="s">
        <v>22</v>
      </c>
      <c r="B98" s="1" t="s">
        <v>7</v>
      </c>
      <c r="C98" s="1" t="s">
        <v>8</v>
      </c>
      <c r="D98" s="1" t="s">
        <v>8</v>
      </c>
      <c r="E98" s="1">
        <v>1</v>
      </c>
      <c r="F98" s="1">
        <v>0.59945359999983305</v>
      </c>
      <c r="G98" s="1">
        <f t="shared" si="1"/>
        <v>599.45359999983305</v>
      </c>
    </row>
    <row r="99" spans="1:7" x14ac:dyDescent="0.35">
      <c r="A99" s="1" t="s">
        <v>6</v>
      </c>
      <c r="B99" s="1" t="s">
        <v>7</v>
      </c>
      <c r="C99" s="1" t="s">
        <v>8</v>
      </c>
      <c r="D99" s="1" t="s">
        <v>8</v>
      </c>
      <c r="E99" s="1">
        <v>1</v>
      </c>
      <c r="F99" s="1">
        <v>0.44984339999973599</v>
      </c>
      <c r="G99" s="1">
        <f t="shared" si="1"/>
        <v>449.84339999973599</v>
      </c>
    </row>
    <row r="100" spans="1:7" x14ac:dyDescent="0.35">
      <c r="A100" s="1" t="s">
        <v>20</v>
      </c>
      <c r="B100" s="1" t="s">
        <v>10</v>
      </c>
      <c r="C100" s="1" t="s">
        <v>11</v>
      </c>
      <c r="D100" s="1" t="s">
        <v>11</v>
      </c>
      <c r="E100" s="1">
        <v>1</v>
      </c>
      <c r="F100" s="1">
        <v>0.68280189999950303</v>
      </c>
      <c r="G100" s="1">
        <f t="shared" si="1"/>
        <v>682.80189999950301</v>
      </c>
    </row>
    <row r="101" spans="1:7" x14ac:dyDescent="0.35">
      <c r="A101" s="1" t="s">
        <v>27</v>
      </c>
      <c r="B101" s="1" t="s">
        <v>7</v>
      </c>
      <c r="C101" s="1" t="s">
        <v>8</v>
      </c>
      <c r="D101" s="1" t="s">
        <v>8</v>
      </c>
      <c r="E101" s="1">
        <v>1</v>
      </c>
      <c r="F101" s="1">
        <v>2.1955560000005701</v>
      </c>
      <c r="G101" s="1">
        <f t="shared" si="1"/>
        <v>2195.5560000005698</v>
      </c>
    </row>
    <row r="102" spans="1:7" x14ac:dyDescent="0.35">
      <c r="A102" s="1" t="s">
        <v>15</v>
      </c>
      <c r="B102" s="1" t="s">
        <v>7</v>
      </c>
      <c r="C102" s="1" t="s">
        <v>8</v>
      </c>
      <c r="D102" s="1" t="s">
        <v>8</v>
      </c>
      <c r="E102" s="1">
        <v>1</v>
      </c>
      <c r="F102" s="1">
        <v>0.61149419999946897</v>
      </c>
      <c r="G102" s="1">
        <f t="shared" si="1"/>
        <v>611.49419999946895</v>
      </c>
    </row>
    <row r="103" spans="1:7" x14ac:dyDescent="0.35">
      <c r="A103" s="1" t="s">
        <v>13</v>
      </c>
      <c r="B103" s="1" t="s">
        <v>7</v>
      </c>
      <c r="C103" s="1" t="s">
        <v>8</v>
      </c>
      <c r="D103" s="1" t="s">
        <v>8</v>
      </c>
      <c r="E103" s="1">
        <v>1</v>
      </c>
      <c r="F103" s="1">
        <v>0.49395359999925798</v>
      </c>
      <c r="G103" s="1">
        <f t="shared" si="1"/>
        <v>493.95359999925796</v>
      </c>
    </row>
    <row r="104" spans="1:7" x14ac:dyDescent="0.35">
      <c r="A104" s="1" t="s">
        <v>24</v>
      </c>
      <c r="B104" s="1" t="s">
        <v>7</v>
      </c>
      <c r="C104" s="1" t="s">
        <v>8</v>
      </c>
      <c r="D104" s="1" t="s">
        <v>8</v>
      </c>
      <c r="E104" s="1">
        <v>1</v>
      </c>
      <c r="F104" s="1">
        <v>0.65432640000017195</v>
      </c>
      <c r="G104" s="1">
        <f t="shared" si="1"/>
        <v>654.32640000017193</v>
      </c>
    </row>
    <row r="105" spans="1:7" x14ac:dyDescent="0.35">
      <c r="A105" s="1" t="s">
        <v>23</v>
      </c>
      <c r="B105" s="1" t="s">
        <v>10</v>
      </c>
      <c r="C105" s="1" t="s">
        <v>11</v>
      </c>
      <c r="D105" s="1" t="s">
        <v>8</v>
      </c>
      <c r="E105" s="1">
        <v>0</v>
      </c>
      <c r="F105" s="1">
        <v>0.62187879999964901</v>
      </c>
      <c r="G105" s="1">
        <f t="shared" si="1"/>
        <v>621.878799999649</v>
      </c>
    </row>
    <row r="106" spans="1:7" x14ac:dyDescent="0.35">
      <c r="A106" s="1" t="s">
        <v>19</v>
      </c>
      <c r="B106" s="1" t="s">
        <v>7</v>
      </c>
      <c r="C106" s="1" t="s">
        <v>8</v>
      </c>
      <c r="D106" s="1" t="s">
        <v>8</v>
      </c>
      <c r="E106" s="1">
        <v>1</v>
      </c>
      <c r="F106" s="1">
        <v>0.52124409999942101</v>
      </c>
      <c r="G106" s="1">
        <f t="shared" si="1"/>
        <v>521.244099999421</v>
      </c>
    </row>
    <row r="107" spans="1:7" x14ac:dyDescent="0.35">
      <c r="A107" s="1" t="s">
        <v>27</v>
      </c>
      <c r="B107" s="1" t="s">
        <v>7</v>
      </c>
      <c r="C107" s="1" t="s">
        <v>8</v>
      </c>
      <c r="D107" s="1" t="s">
        <v>8</v>
      </c>
      <c r="E107" s="1">
        <v>1</v>
      </c>
      <c r="F107" s="1">
        <v>0.41659080000044901</v>
      </c>
      <c r="G107" s="1">
        <f t="shared" si="1"/>
        <v>416.59080000044901</v>
      </c>
    </row>
    <row r="108" spans="1:7" x14ac:dyDescent="0.35">
      <c r="A108" s="1" t="s">
        <v>22</v>
      </c>
      <c r="B108" s="1" t="s">
        <v>7</v>
      </c>
      <c r="C108" s="1" t="s">
        <v>8</v>
      </c>
      <c r="D108" s="1" t="s">
        <v>8</v>
      </c>
      <c r="E108" s="1">
        <v>1</v>
      </c>
      <c r="F108" s="1">
        <v>0.66897210000024598</v>
      </c>
      <c r="G108" s="1">
        <f t="shared" si="1"/>
        <v>668.97210000024597</v>
      </c>
    </row>
    <row r="109" spans="1:7" x14ac:dyDescent="0.35">
      <c r="A109" s="1" t="s">
        <v>14</v>
      </c>
      <c r="B109" s="1" t="s">
        <v>10</v>
      </c>
      <c r="C109" s="1" t="s">
        <v>11</v>
      </c>
      <c r="D109" s="1" t="s">
        <v>8</v>
      </c>
      <c r="E109" s="1">
        <v>0</v>
      </c>
      <c r="F109" s="1">
        <v>0.55476820000058003</v>
      </c>
      <c r="G109" s="1">
        <f t="shared" si="1"/>
        <v>554.76820000058001</v>
      </c>
    </row>
    <row r="110" spans="1:7" x14ac:dyDescent="0.35">
      <c r="A110" s="1" t="s">
        <v>29</v>
      </c>
      <c r="B110" s="1" t="s">
        <v>7</v>
      </c>
      <c r="C110" s="1" t="s">
        <v>8</v>
      </c>
      <c r="D110" s="1" t="s">
        <v>8</v>
      </c>
      <c r="E110" s="1">
        <v>1</v>
      </c>
      <c r="F110" s="1">
        <v>0.66081870000016296</v>
      </c>
      <c r="G110" s="1">
        <f t="shared" si="1"/>
        <v>660.81870000016295</v>
      </c>
    </row>
    <row r="111" spans="1:7" x14ac:dyDescent="0.35">
      <c r="A111" s="1" t="s">
        <v>18</v>
      </c>
      <c r="B111" s="1" t="s">
        <v>7</v>
      </c>
      <c r="C111" s="1" t="s">
        <v>8</v>
      </c>
      <c r="D111" s="1" t="s">
        <v>8</v>
      </c>
      <c r="E111" s="1">
        <v>1</v>
      </c>
      <c r="F111" s="1">
        <v>0.59944540000014901</v>
      </c>
      <c r="G111" s="1">
        <f t="shared" si="1"/>
        <v>599.44540000014899</v>
      </c>
    </row>
    <row r="112" spans="1:7" x14ac:dyDescent="0.35">
      <c r="A112" s="1" t="s">
        <v>25</v>
      </c>
      <c r="B112" s="1" t="s">
        <v>10</v>
      </c>
      <c r="C112" s="1" t="s">
        <v>11</v>
      </c>
      <c r="D112" s="1" t="s">
        <v>8</v>
      </c>
      <c r="E112" s="1">
        <v>0</v>
      </c>
      <c r="F112" s="1">
        <v>0.62979280000035898</v>
      </c>
      <c r="G112" s="1">
        <f t="shared" si="1"/>
        <v>629.79280000035897</v>
      </c>
    </row>
    <row r="113" spans="1:7" x14ac:dyDescent="0.35">
      <c r="A113" s="1" t="s">
        <v>21</v>
      </c>
      <c r="B113" s="1" t="s">
        <v>10</v>
      </c>
      <c r="C113" s="1" t="s">
        <v>11</v>
      </c>
      <c r="D113" s="1" t="s">
        <v>11</v>
      </c>
      <c r="E113" s="1">
        <v>1</v>
      </c>
      <c r="F113" s="1">
        <v>0.69226279999929796</v>
      </c>
      <c r="G113" s="1">
        <f t="shared" si="1"/>
        <v>692.26279999929795</v>
      </c>
    </row>
    <row r="114" spans="1:7" x14ac:dyDescent="0.35">
      <c r="A114" s="1" t="s">
        <v>12</v>
      </c>
      <c r="B114" s="1" t="s">
        <v>7</v>
      </c>
      <c r="C114" s="1" t="s">
        <v>8</v>
      </c>
      <c r="D114" s="1" t="s">
        <v>8</v>
      </c>
      <c r="E114" s="1">
        <v>1</v>
      </c>
      <c r="F114" s="1">
        <v>0.95984769999995401</v>
      </c>
      <c r="G114" s="1">
        <f t="shared" si="1"/>
        <v>959.84769999995399</v>
      </c>
    </row>
    <row r="115" spans="1:7" x14ac:dyDescent="0.35">
      <c r="A115" s="1" t="s">
        <v>9</v>
      </c>
      <c r="B115" s="1" t="s">
        <v>10</v>
      </c>
      <c r="C115" s="1" t="s">
        <v>11</v>
      </c>
      <c r="D115" s="1" t="s">
        <v>8</v>
      </c>
      <c r="E115" s="1">
        <v>0</v>
      </c>
      <c r="F115" s="1">
        <v>0.771973700000671</v>
      </c>
      <c r="G115" s="1">
        <f t="shared" si="1"/>
        <v>771.97370000067099</v>
      </c>
    </row>
    <row r="116" spans="1:7" x14ac:dyDescent="0.35">
      <c r="A116" s="1" t="s">
        <v>6</v>
      </c>
      <c r="B116" s="1" t="s">
        <v>7</v>
      </c>
      <c r="C116" s="1" t="s">
        <v>8</v>
      </c>
      <c r="D116" s="1" t="s">
        <v>8</v>
      </c>
      <c r="E116" s="1">
        <v>1</v>
      </c>
      <c r="F116" s="1">
        <v>0.651778000000376</v>
      </c>
      <c r="G116" s="1">
        <f t="shared" si="1"/>
        <v>651.77800000037598</v>
      </c>
    </row>
    <row r="117" spans="1:7" x14ac:dyDescent="0.35">
      <c r="A117" s="1" t="s">
        <v>20</v>
      </c>
      <c r="B117" s="1" t="s">
        <v>10</v>
      </c>
      <c r="C117" s="1" t="s">
        <v>11</v>
      </c>
      <c r="D117" s="1" t="s">
        <v>11</v>
      </c>
      <c r="E117" s="1">
        <v>1</v>
      </c>
      <c r="F117" s="1">
        <v>0.93548799999916799</v>
      </c>
      <c r="G117" s="1">
        <f t="shared" si="1"/>
        <v>935.48799999916798</v>
      </c>
    </row>
    <row r="118" spans="1:7" x14ac:dyDescent="0.35">
      <c r="A118" s="1" t="s">
        <v>17</v>
      </c>
      <c r="B118" s="1" t="s">
        <v>10</v>
      </c>
      <c r="C118" s="1" t="s">
        <v>11</v>
      </c>
      <c r="D118" s="1" t="s">
        <v>11</v>
      </c>
      <c r="E118" s="1">
        <v>1</v>
      </c>
      <c r="F118" s="1">
        <v>3.3380453999998201</v>
      </c>
      <c r="G118" s="1">
        <f t="shared" si="1"/>
        <v>3338.0453999998199</v>
      </c>
    </row>
    <row r="119" spans="1:7" x14ac:dyDescent="0.35">
      <c r="A119" s="1" t="s">
        <v>26</v>
      </c>
      <c r="B119" s="1" t="s">
        <v>10</v>
      </c>
      <c r="C119" s="1" t="s">
        <v>11</v>
      </c>
      <c r="D119" s="1" t="s">
        <v>11</v>
      </c>
      <c r="E119" s="1">
        <v>1</v>
      </c>
      <c r="F119" s="1">
        <v>2.97453570000016</v>
      </c>
      <c r="G119" s="1">
        <f t="shared" si="1"/>
        <v>2974.53570000016</v>
      </c>
    </row>
    <row r="120" spans="1:7" x14ac:dyDescent="0.35">
      <c r="A120" s="1" t="s">
        <v>16</v>
      </c>
      <c r="B120" s="1" t="s">
        <v>10</v>
      </c>
      <c r="C120" s="1" t="s">
        <v>11</v>
      </c>
      <c r="D120" s="1" t="s">
        <v>8</v>
      </c>
      <c r="E120" s="1">
        <v>0</v>
      </c>
      <c r="F120" s="1">
        <v>0.68132100000002505</v>
      </c>
      <c r="G120" s="1">
        <f t="shared" si="1"/>
        <v>681.32100000002504</v>
      </c>
    </row>
    <row r="121" spans="1:7" x14ac:dyDescent="0.35">
      <c r="A121" s="1" t="s">
        <v>28</v>
      </c>
      <c r="B121" s="1" t="s">
        <v>10</v>
      </c>
      <c r="C121" s="1" t="s">
        <v>11</v>
      </c>
      <c r="D121" s="1" t="s">
        <v>8</v>
      </c>
      <c r="E121" s="1">
        <v>0</v>
      </c>
      <c r="F121" s="1">
        <v>0.78864879999946402</v>
      </c>
      <c r="G121" s="1">
        <f t="shared" si="1"/>
        <v>788.64879999946402</v>
      </c>
    </row>
    <row r="122" spans="1:7" x14ac:dyDescent="0.35">
      <c r="A122" s="1" t="s">
        <v>19</v>
      </c>
      <c r="B122" s="1" t="s">
        <v>7</v>
      </c>
      <c r="C122" s="1" t="s">
        <v>8</v>
      </c>
      <c r="D122" s="1" t="s">
        <v>8</v>
      </c>
      <c r="E122" s="1">
        <v>1</v>
      </c>
      <c r="F122" s="1">
        <v>0.93556710000029797</v>
      </c>
      <c r="G122" s="1">
        <f t="shared" si="1"/>
        <v>935.56710000029796</v>
      </c>
    </row>
    <row r="123" spans="1:7" x14ac:dyDescent="0.35">
      <c r="A123" s="1" t="s">
        <v>24</v>
      </c>
      <c r="B123" s="1" t="s">
        <v>7</v>
      </c>
      <c r="C123" s="1" t="s">
        <v>8</v>
      </c>
      <c r="D123" s="1" t="s">
        <v>8</v>
      </c>
      <c r="E123" s="1">
        <v>1</v>
      </c>
      <c r="F123" s="1">
        <v>0.70253969999976096</v>
      </c>
      <c r="G123" s="1">
        <f t="shared" si="1"/>
        <v>702.53969999976096</v>
      </c>
    </row>
    <row r="124" spans="1:7" x14ac:dyDescent="0.35">
      <c r="A124" s="1" t="s">
        <v>16</v>
      </c>
      <c r="B124" s="1" t="s">
        <v>10</v>
      </c>
      <c r="C124" s="1" t="s">
        <v>11</v>
      </c>
      <c r="D124" s="1" t="s">
        <v>8</v>
      </c>
      <c r="E124" s="1">
        <v>0</v>
      </c>
      <c r="F124" s="1">
        <v>1.37134070000047</v>
      </c>
      <c r="G124" s="1">
        <f t="shared" si="1"/>
        <v>1371.34070000047</v>
      </c>
    </row>
    <row r="125" spans="1:7" x14ac:dyDescent="0.35">
      <c r="A125" s="1" t="s">
        <v>27</v>
      </c>
      <c r="B125" s="1" t="s">
        <v>7</v>
      </c>
      <c r="C125" s="1" t="s">
        <v>8</v>
      </c>
      <c r="D125" s="1" t="s">
        <v>8</v>
      </c>
      <c r="E125" s="1">
        <v>1</v>
      </c>
      <c r="F125" s="1">
        <v>0.40912750000006698</v>
      </c>
      <c r="G125" s="1">
        <f t="shared" si="1"/>
        <v>409.12750000006696</v>
      </c>
    </row>
    <row r="126" spans="1:7" x14ac:dyDescent="0.35">
      <c r="A126" s="1" t="s">
        <v>23</v>
      </c>
      <c r="B126" s="1" t="s">
        <v>10</v>
      </c>
      <c r="C126" s="1" t="s">
        <v>11</v>
      </c>
      <c r="D126" s="1" t="s">
        <v>11</v>
      </c>
      <c r="E126" s="1">
        <v>1</v>
      </c>
      <c r="F126" s="1">
        <v>0.76711710000017697</v>
      </c>
      <c r="G126" s="1">
        <f t="shared" si="1"/>
        <v>767.11710000017695</v>
      </c>
    </row>
    <row r="127" spans="1:7" x14ac:dyDescent="0.35">
      <c r="A127" s="1" t="s">
        <v>21</v>
      </c>
      <c r="B127" s="1" t="s">
        <v>10</v>
      </c>
      <c r="C127" s="1" t="s">
        <v>11</v>
      </c>
      <c r="D127" s="1" t="s">
        <v>11</v>
      </c>
      <c r="E127" s="1">
        <v>1</v>
      </c>
      <c r="F127" s="1">
        <v>0.59098549999998795</v>
      </c>
      <c r="G127" s="1">
        <f t="shared" si="1"/>
        <v>590.98549999998795</v>
      </c>
    </row>
    <row r="128" spans="1:7" x14ac:dyDescent="0.35">
      <c r="A128" s="1" t="s">
        <v>9</v>
      </c>
      <c r="B128" s="1" t="s">
        <v>10</v>
      </c>
      <c r="C128" s="1" t="s">
        <v>11</v>
      </c>
      <c r="D128" s="1" t="s">
        <v>8</v>
      </c>
      <c r="E128" s="1">
        <v>0</v>
      </c>
      <c r="F128" s="1">
        <v>0.40702000000055699</v>
      </c>
      <c r="G128" s="1">
        <f t="shared" si="1"/>
        <v>407.02000000055699</v>
      </c>
    </row>
    <row r="129" spans="1:7" x14ac:dyDescent="0.35">
      <c r="A129" s="1" t="s">
        <v>25</v>
      </c>
      <c r="B129" s="1" t="s">
        <v>10</v>
      </c>
      <c r="C129" s="1" t="s">
        <v>11</v>
      </c>
      <c r="D129" s="1" t="s">
        <v>8</v>
      </c>
      <c r="E129" s="1">
        <v>0</v>
      </c>
      <c r="F129" s="1">
        <v>0.55998139999974195</v>
      </c>
      <c r="G129" s="1">
        <f t="shared" si="1"/>
        <v>559.98139999974194</v>
      </c>
    </row>
    <row r="130" spans="1:7" x14ac:dyDescent="0.35">
      <c r="A130" s="1" t="s">
        <v>22</v>
      </c>
      <c r="B130" s="1" t="s">
        <v>7</v>
      </c>
      <c r="C130" s="1" t="s">
        <v>8</v>
      </c>
      <c r="D130" s="1" t="s">
        <v>8</v>
      </c>
      <c r="E130" s="1">
        <v>1</v>
      </c>
      <c r="F130" s="1">
        <v>0.55028510000010999</v>
      </c>
      <c r="G130" s="1">
        <f t="shared" si="1"/>
        <v>550.28510000010999</v>
      </c>
    </row>
    <row r="131" spans="1:7" x14ac:dyDescent="0.35">
      <c r="A131" s="1" t="s">
        <v>26</v>
      </c>
      <c r="B131" s="1" t="s">
        <v>10</v>
      </c>
      <c r="C131" s="1" t="s">
        <v>11</v>
      </c>
      <c r="D131" s="1" t="s">
        <v>8</v>
      </c>
      <c r="E131" s="1">
        <v>0</v>
      </c>
      <c r="F131" s="1">
        <v>0.72909840000011095</v>
      </c>
      <c r="G131" s="1">
        <f t="shared" ref="G131:G194" si="2">F131*1000</f>
        <v>729.09840000011093</v>
      </c>
    </row>
    <row r="132" spans="1:7" x14ac:dyDescent="0.35">
      <c r="A132" s="1" t="s">
        <v>18</v>
      </c>
      <c r="B132" s="1" t="s">
        <v>7</v>
      </c>
      <c r="C132" s="1" t="s">
        <v>8</v>
      </c>
      <c r="D132" s="1" t="s">
        <v>8</v>
      </c>
      <c r="E132" s="1">
        <v>1</v>
      </c>
      <c r="F132" s="1">
        <v>0.60724310000023196</v>
      </c>
      <c r="G132" s="1">
        <f t="shared" si="2"/>
        <v>607.24310000023195</v>
      </c>
    </row>
    <row r="133" spans="1:7" x14ac:dyDescent="0.35">
      <c r="A133" s="1" t="s">
        <v>14</v>
      </c>
      <c r="B133" s="1" t="s">
        <v>10</v>
      </c>
      <c r="C133" s="1" t="s">
        <v>11</v>
      </c>
      <c r="D133" s="1" t="s">
        <v>11</v>
      </c>
      <c r="E133" s="1">
        <v>1</v>
      </c>
      <c r="F133" s="1">
        <v>0.787418699999761</v>
      </c>
      <c r="G133" s="1">
        <f t="shared" si="2"/>
        <v>787.41869999976097</v>
      </c>
    </row>
    <row r="134" spans="1:7" x14ac:dyDescent="0.35">
      <c r="A134" s="1" t="s">
        <v>28</v>
      </c>
      <c r="B134" s="1" t="s">
        <v>10</v>
      </c>
      <c r="C134" s="1" t="s">
        <v>11</v>
      </c>
      <c r="D134" s="1" t="s">
        <v>11</v>
      </c>
      <c r="E134" s="1">
        <v>1</v>
      </c>
      <c r="F134" s="1">
        <v>2.5169281000007602</v>
      </c>
      <c r="G134" s="1">
        <f t="shared" si="2"/>
        <v>2516.92810000076</v>
      </c>
    </row>
    <row r="135" spans="1:7" x14ac:dyDescent="0.35">
      <c r="A135" s="1" t="s">
        <v>15</v>
      </c>
      <c r="B135" s="1" t="s">
        <v>7</v>
      </c>
      <c r="C135" s="1" t="s">
        <v>8</v>
      </c>
      <c r="D135" s="1" t="s">
        <v>8</v>
      </c>
      <c r="E135" s="1">
        <v>1</v>
      </c>
      <c r="F135" s="1">
        <v>0.518607500000143</v>
      </c>
      <c r="G135" s="1">
        <f t="shared" si="2"/>
        <v>518.60750000014298</v>
      </c>
    </row>
    <row r="136" spans="1:7" x14ac:dyDescent="0.35">
      <c r="A136" s="1" t="s">
        <v>12</v>
      </c>
      <c r="B136" s="1" t="s">
        <v>7</v>
      </c>
      <c r="C136" s="1" t="s">
        <v>8</v>
      </c>
      <c r="D136" s="1" t="s">
        <v>8</v>
      </c>
      <c r="E136" s="1">
        <v>1</v>
      </c>
      <c r="F136" s="1">
        <v>0.65319819999967799</v>
      </c>
      <c r="G136" s="1">
        <f t="shared" si="2"/>
        <v>653.19819999967797</v>
      </c>
    </row>
    <row r="137" spans="1:7" x14ac:dyDescent="0.35">
      <c r="A137" s="1" t="s">
        <v>6</v>
      </c>
      <c r="B137" s="1" t="s">
        <v>7</v>
      </c>
      <c r="C137" s="1" t="s">
        <v>8</v>
      </c>
      <c r="D137" s="1" t="s">
        <v>8</v>
      </c>
      <c r="E137" s="1">
        <v>1</v>
      </c>
      <c r="F137" s="1">
        <v>0.57675659999949802</v>
      </c>
      <c r="G137" s="1">
        <f t="shared" si="2"/>
        <v>576.75659999949801</v>
      </c>
    </row>
    <row r="138" spans="1:7" x14ac:dyDescent="0.35">
      <c r="A138" s="1" t="s">
        <v>20</v>
      </c>
      <c r="B138" s="1" t="s">
        <v>10</v>
      </c>
      <c r="C138" s="1" t="s">
        <v>11</v>
      </c>
      <c r="D138" s="1" t="s">
        <v>11</v>
      </c>
      <c r="E138" s="1">
        <v>1</v>
      </c>
      <c r="F138" s="1">
        <v>1.2159381000001299</v>
      </c>
      <c r="G138" s="1">
        <f t="shared" si="2"/>
        <v>1215.9381000001299</v>
      </c>
    </row>
    <row r="139" spans="1:7" x14ac:dyDescent="0.35">
      <c r="A139" s="1" t="s">
        <v>13</v>
      </c>
      <c r="B139" s="1" t="s">
        <v>7</v>
      </c>
      <c r="C139" s="1" t="s">
        <v>8</v>
      </c>
      <c r="D139" s="1" t="s">
        <v>8</v>
      </c>
      <c r="E139" s="1">
        <v>1</v>
      </c>
      <c r="F139" s="1">
        <v>1.0362353000000399</v>
      </c>
      <c r="G139" s="1">
        <f t="shared" si="2"/>
        <v>1036.2353000000398</v>
      </c>
    </row>
    <row r="140" spans="1:7" x14ac:dyDescent="0.35">
      <c r="A140" s="1" t="s">
        <v>29</v>
      </c>
      <c r="B140" s="1" t="s">
        <v>7</v>
      </c>
      <c r="C140" s="1" t="s">
        <v>8</v>
      </c>
      <c r="D140" s="1" t="s">
        <v>8</v>
      </c>
      <c r="E140" s="1">
        <v>1</v>
      </c>
      <c r="F140" s="1">
        <v>1.5794952999995</v>
      </c>
      <c r="G140" s="1">
        <f t="shared" si="2"/>
        <v>1579.4952999995</v>
      </c>
    </row>
    <row r="141" spans="1:7" x14ac:dyDescent="0.35">
      <c r="A141" s="1" t="s">
        <v>17</v>
      </c>
      <c r="B141" s="1" t="s">
        <v>10</v>
      </c>
      <c r="C141" s="1" t="s">
        <v>11</v>
      </c>
      <c r="D141" s="1" t="s">
        <v>11</v>
      </c>
      <c r="E141" s="1">
        <v>1</v>
      </c>
      <c r="F141" s="1">
        <v>2.1807748999999599</v>
      </c>
      <c r="G141" s="1">
        <f t="shared" si="2"/>
        <v>2180.7748999999599</v>
      </c>
    </row>
    <row r="142" spans="1:7" x14ac:dyDescent="0.35">
      <c r="A142" s="1" t="s">
        <v>29</v>
      </c>
      <c r="B142" s="1" t="s">
        <v>7</v>
      </c>
      <c r="C142" s="1" t="s">
        <v>8</v>
      </c>
      <c r="D142" s="1" t="s">
        <v>8</v>
      </c>
      <c r="E142" s="1">
        <v>1</v>
      </c>
      <c r="F142" s="1">
        <v>0.588765099999363</v>
      </c>
      <c r="G142" s="1">
        <f t="shared" si="2"/>
        <v>588.76509999936297</v>
      </c>
    </row>
    <row r="143" spans="1:7" x14ac:dyDescent="0.35">
      <c r="A143" s="1" t="s">
        <v>24</v>
      </c>
      <c r="B143" s="1" t="s">
        <v>7</v>
      </c>
      <c r="C143" s="1" t="s">
        <v>8</v>
      </c>
      <c r="D143" s="1" t="s">
        <v>8</v>
      </c>
      <c r="E143" s="1">
        <v>1</v>
      </c>
      <c r="F143" s="1">
        <v>0.465251700000408</v>
      </c>
      <c r="G143" s="1">
        <f t="shared" si="2"/>
        <v>465.25170000040799</v>
      </c>
    </row>
    <row r="144" spans="1:7" x14ac:dyDescent="0.35">
      <c r="A144" s="1" t="s">
        <v>27</v>
      </c>
      <c r="B144" s="1" t="s">
        <v>7</v>
      </c>
      <c r="C144" s="1" t="s">
        <v>8</v>
      </c>
      <c r="D144" s="1" t="s">
        <v>8</v>
      </c>
      <c r="E144" s="1">
        <v>1</v>
      </c>
      <c r="F144" s="1">
        <v>0.57458730000053004</v>
      </c>
      <c r="G144" s="1">
        <f t="shared" si="2"/>
        <v>574.58730000053004</v>
      </c>
    </row>
    <row r="145" spans="1:7" x14ac:dyDescent="0.35">
      <c r="A145" s="1" t="s">
        <v>13</v>
      </c>
      <c r="B145" s="1" t="s">
        <v>7</v>
      </c>
      <c r="C145" s="1" t="s">
        <v>8</v>
      </c>
      <c r="D145" s="1" t="s">
        <v>8</v>
      </c>
      <c r="E145" s="1">
        <v>1</v>
      </c>
      <c r="F145" s="1">
        <v>0.50379579999935198</v>
      </c>
      <c r="G145" s="1">
        <f t="shared" si="2"/>
        <v>503.79579999935197</v>
      </c>
    </row>
    <row r="146" spans="1:7" x14ac:dyDescent="0.35">
      <c r="A146" s="1" t="s">
        <v>26</v>
      </c>
      <c r="B146" s="1" t="s">
        <v>10</v>
      </c>
      <c r="C146" s="1" t="s">
        <v>11</v>
      </c>
      <c r="D146" s="1" t="s">
        <v>11</v>
      </c>
      <c r="E146" s="1">
        <v>1</v>
      </c>
      <c r="F146" s="1">
        <v>0.70893580000029</v>
      </c>
      <c r="G146" s="1">
        <f t="shared" si="2"/>
        <v>708.93580000028999</v>
      </c>
    </row>
    <row r="147" spans="1:7" x14ac:dyDescent="0.35">
      <c r="A147" s="1" t="s">
        <v>25</v>
      </c>
      <c r="B147" s="1" t="s">
        <v>10</v>
      </c>
      <c r="C147" s="1" t="s">
        <v>11</v>
      </c>
      <c r="D147" s="1" t="s">
        <v>11</v>
      </c>
      <c r="E147" s="1">
        <v>1</v>
      </c>
      <c r="F147" s="1">
        <v>0.820654899999681</v>
      </c>
      <c r="G147" s="1">
        <f t="shared" si="2"/>
        <v>820.65489999968099</v>
      </c>
    </row>
    <row r="148" spans="1:7" x14ac:dyDescent="0.35">
      <c r="A148" s="1" t="s">
        <v>18</v>
      </c>
      <c r="B148" s="1" t="s">
        <v>7</v>
      </c>
      <c r="C148" s="1" t="s">
        <v>8</v>
      </c>
      <c r="D148" s="1" t="s">
        <v>8</v>
      </c>
      <c r="E148" s="1">
        <v>1</v>
      </c>
      <c r="F148" s="1">
        <v>1.1202421000007201</v>
      </c>
      <c r="G148" s="1">
        <f t="shared" si="2"/>
        <v>1120.24210000072</v>
      </c>
    </row>
    <row r="149" spans="1:7" x14ac:dyDescent="0.35">
      <c r="A149" s="1" t="s">
        <v>23</v>
      </c>
      <c r="B149" s="1" t="s">
        <v>10</v>
      </c>
      <c r="C149" s="1" t="s">
        <v>11</v>
      </c>
      <c r="D149" s="1" t="s">
        <v>8</v>
      </c>
      <c r="E149" s="1">
        <v>0</v>
      </c>
      <c r="F149" s="1">
        <v>0.56031619999976101</v>
      </c>
      <c r="G149" s="1">
        <f t="shared" si="2"/>
        <v>560.31619999976101</v>
      </c>
    </row>
    <row r="150" spans="1:7" x14ac:dyDescent="0.35">
      <c r="A150" s="1" t="s">
        <v>14</v>
      </c>
      <c r="B150" s="1" t="s">
        <v>10</v>
      </c>
      <c r="C150" s="1" t="s">
        <v>11</v>
      </c>
      <c r="D150" s="1" t="s">
        <v>11</v>
      </c>
      <c r="E150" s="1">
        <v>1</v>
      </c>
      <c r="F150" s="1">
        <v>0.81597840000085797</v>
      </c>
      <c r="G150" s="1">
        <f t="shared" si="2"/>
        <v>815.97840000085796</v>
      </c>
    </row>
    <row r="151" spans="1:7" x14ac:dyDescent="0.35">
      <c r="A151" s="1" t="s">
        <v>19</v>
      </c>
      <c r="B151" s="1" t="s">
        <v>7</v>
      </c>
      <c r="C151" s="1" t="s">
        <v>8</v>
      </c>
      <c r="D151" s="1" t="s">
        <v>8</v>
      </c>
      <c r="E151" s="1">
        <v>1</v>
      </c>
      <c r="F151" s="1">
        <v>0.60644690000026402</v>
      </c>
      <c r="G151" s="1">
        <f t="shared" si="2"/>
        <v>606.44690000026401</v>
      </c>
    </row>
    <row r="152" spans="1:7" x14ac:dyDescent="0.35">
      <c r="A152" s="1" t="s">
        <v>17</v>
      </c>
      <c r="B152" s="1" t="s">
        <v>10</v>
      </c>
      <c r="C152" s="1" t="s">
        <v>11</v>
      </c>
      <c r="D152" s="1" t="s">
        <v>11</v>
      </c>
      <c r="E152" s="1">
        <v>1</v>
      </c>
      <c r="F152" s="1">
        <v>3.6716755000006698</v>
      </c>
      <c r="G152" s="1">
        <f t="shared" si="2"/>
        <v>3671.6755000006697</v>
      </c>
    </row>
    <row r="153" spans="1:7" x14ac:dyDescent="0.35">
      <c r="A153" s="1" t="s">
        <v>20</v>
      </c>
      <c r="B153" s="1" t="s">
        <v>10</v>
      </c>
      <c r="C153" s="1" t="s">
        <v>11</v>
      </c>
      <c r="D153" s="1" t="s">
        <v>8</v>
      </c>
      <c r="E153" s="1">
        <v>0</v>
      </c>
      <c r="F153" s="1">
        <v>0.56600259999959202</v>
      </c>
      <c r="G153" s="1">
        <f t="shared" si="2"/>
        <v>566.00259999959201</v>
      </c>
    </row>
    <row r="154" spans="1:7" x14ac:dyDescent="0.35">
      <c r="A154" s="1" t="s">
        <v>15</v>
      </c>
      <c r="B154" s="1" t="s">
        <v>7</v>
      </c>
      <c r="C154" s="1" t="s">
        <v>8</v>
      </c>
      <c r="D154" s="1" t="s">
        <v>8</v>
      </c>
      <c r="E154" s="1">
        <v>1</v>
      </c>
      <c r="F154" s="1">
        <v>1.4877610999992601</v>
      </c>
      <c r="G154" s="1">
        <f t="shared" si="2"/>
        <v>1487.7610999992601</v>
      </c>
    </row>
    <row r="155" spans="1:7" x14ac:dyDescent="0.35">
      <c r="A155" s="1" t="s">
        <v>9</v>
      </c>
      <c r="B155" s="1" t="s">
        <v>10</v>
      </c>
      <c r="C155" s="1" t="s">
        <v>11</v>
      </c>
      <c r="D155" s="1" t="s">
        <v>8</v>
      </c>
      <c r="E155" s="1">
        <v>0</v>
      </c>
      <c r="F155" s="1">
        <v>0.77019490000020596</v>
      </c>
      <c r="G155" s="1">
        <f t="shared" si="2"/>
        <v>770.19490000020596</v>
      </c>
    </row>
    <row r="156" spans="1:7" x14ac:dyDescent="0.35">
      <c r="A156" s="1" t="s">
        <v>28</v>
      </c>
      <c r="B156" s="1" t="s">
        <v>10</v>
      </c>
      <c r="C156" s="1" t="s">
        <v>11</v>
      </c>
      <c r="D156" s="1" t="s">
        <v>11</v>
      </c>
      <c r="E156" s="1">
        <v>1</v>
      </c>
      <c r="F156" s="1">
        <v>0.54266180000013198</v>
      </c>
      <c r="G156" s="1">
        <f t="shared" si="2"/>
        <v>542.66180000013196</v>
      </c>
    </row>
    <row r="157" spans="1:7" x14ac:dyDescent="0.35">
      <c r="A157" s="1" t="s">
        <v>6</v>
      </c>
      <c r="B157" s="1" t="s">
        <v>7</v>
      </c>
      <c r="C157" s="1" t="s">
        <v>8</v>
      </c>
      <c r="D157" s="1" t="s">
        <v>8</v>
      </c>
      <c r="E157" s="1">
        <v>1</v>
      </c>
      <c r="F157" s="1">
        <v>2.5861059999997398</v>
      </c>
      <c r="G157" s="1">
        <f t="shared" si="2"/>
        <v>2586.1059999997397</v>
      </c>
    </row>
    <row r="158" spans="1:7" x14ac:dyDescent="0.35">
      <c r="A158" s="1" t="s">
        <v>16</v>
      </c>
      <c r="B158" s="1" t="s">
        <v>10</v>
      </c>
      <c r="C158" s="1" t="s">
        <v>11</v>
      </c>
      <c r="D158" s="1" t="s">
        <v>8</v>
      </c>
      <c r="E158" s="1">
        <v>0</v>
      </c>
      <c r="F158" s="1">
        <v>0.79024140000001297</v>
      </c>
      <c r="G158" s="1">
        <f t="shared" si="2"/>
        <v>790.24140000001296</v>
      </c>
    </row>
    <row r="159" spans="1:7" x14ac:dyDescent="0.35">
      <c r="A159" s="1" t="s">
        <v>22</v>
      </c>
      <c r="B159" s="1" t="s">
        <v>7</v>
      </c>
      <c r="C159" s="1" t="s">
        <v>8</v>
      </c>
      <c r="D159" s="1" t="s">
        <v>8</v>
      </c>
      <c r="E159" s="1">
        <v>1</v>
      </c>
      <c r="F159" s="1">
        <v>0.59720509999988203</v>
      </c>
      <c r="G159" s="1">
        <f t="shared" si="2"/>
        <v>597.20509999988201</v>
      </c>
    </row>
    <row r="160" spans="1:7" x14ac:dyDescent="0.35">
      <c r="A160" s="1" t="s">
        <v>21</v>
      </c>
      <c r="B160" s="1" t="s">
        <v>10</v>
      </c>
      <c r="C160" s="1" t="s">
        <v>11</v>
      </c>
      <c r="D160" s="1" t="s">
        <v>8</v>
      </c>
      <c r="E160" s="1">
        <v>0</v>
      </c>
      <c r="F160" s="1">
        <v>1.75493860000005</v>
      </c>
      <c r="G160" s="1">
        <f t="shared" si="2"/>
        <v>1754.93860000005</v>
      </c>
    </row>
    <row r="161" spans="1:7" x14ac:dyDescent="0.35">
      <c r="A161" s="1" t="s">
        <v>12</v>
      </c>
      <c r="B161" s="1" t="s">
        <v>7</v>
      </c>
      <c r="C161" s="1" t="s">
        <v>8</v>
      </c>
      <c r="D161" s="1" t="s">
        <v>8</v>
      </c>
      <c r="E161" s="1">
        <v>1</v>
      </c>
      <c r="F161" s="1">
        <v>2.68502249999983</v>
      </c>
      <c r="G161" s="1">
        <f t="shared" si="2"/>
        <v>2685.02249999983</v>
      </c>
    </row>
    <row r="162" spans="1:7" x14ac:dyDescent="0.35">
      <c r="A162" s="1" t="s">
        <v>21</v>
      </c>
      <c r="B162" s="1" t="s">
        <v>10</v>
      </c>
      <c r="C162" s="1" t="s">
        <v>11</v>
      </c>
      <c r="D162" s="1" t="s">
        <v>8</v>
      </c>
      <c r="E162" s="1">
        <v>0</v>
      </c>
      <c r="F162" s="1">
        <v>0.57122830000025704</v>
      </c>
      <c r="G162" s="1">
        <f t="shared" si="2"/>
        <v>571.22830000025704</v>
      </c>
    </row>
    <row r="163" spans="1:7" x14ac:dyDescent="0.35">
      <c r="A163" s="1" t="s">
        <v>25</v>
      </c>
      <c r="B163" s="1" t="s">
        <v>10</v>
      </c>
      <c r="C163" s="1" t="s">
        <v>11</v>
      </c>
      <c r="D163" s="1" t="s">
        <v>8</v>
      </c>
      <c r="E163" s="1">
        <v>0</v>
      </c>
      <c r="F163" s="1">
        <v>1.81052639999961</v>
      </c>
      <c r="G163" s="1">
        <f t="shared" si="2"/>
        <v>1810.52639999961</v>
      </c>
    </row>
    <row r="164" spans="1:7" x14ac:dyDescent="0.35">
      <c r="A164" s="1" t="s">
        <v>19</v>
      </c>
      <c r="B164" s="1" t="s">
        <v>7</v>
      </c>
      <c r="C164" s="1" t="s">
        <v>8</v>
      </c>
      <c r="D164" s="1" t="s">
        <v>8</v>
      </c>
      <c r="E164" s="1">
        <v>1</v>
      </c>
      <c r="F164" s="1">
        <v>0.61553569999978197</v>
      </c>
      <c r="G164" s="1">
        <f t="shared" si="2"/>
        <v>615.53569999978197</v>
      </c>
    </row>
    <row r="165" spans="1:7" x14ac:dyDescent="0.35">
      <c r="A165" s="1" t="s">
        <v>9</v>
      </c>
      <c r="B165" s="1" t="s">
        <v>10</v>
      </c>
      <c r="C165" s="1" t="s">
        <v>11</v>
      </c>
      <c r="D165" s="1" t="s">
        <v>8</v>
      </c>
      <c r="E165" s="1">
        <v>0</v>
      </c>
      <c r="F165" s="1">
        <v>1.5524835000005599</v>
      </c>
      <c r="G165" s="1">
        <f t="shared" si="2"/>
        <v>1552.4835000005598</v>
      </c>
    </row>
    <row r="166" spans="1:7" x14ac:dyDescent="0.35">
      <c r="A166" s="1" t="s">
        <v>16</v>
      </c>
      <c r="B166" s="1" t="s">
        <v>10</v>
      </c>
      <c r="C166" s="1" t="s">
        <v>11</v>
      </c>
      <c r="D166" s="1" t="s">
        <v>8</v>
      </c>
      <c r="E166" s="1">
        <v>0</v>
      </c>
      <c r="F166" s="1">
        <v>0.62635289999980104</v>
      </c>
      <c r="G166" s="1">
        <f t="shared" si="2"/>
        <v>626.35289999980102</v>
      </c>
    </row>
    <row r="167" spans="1:7" x14ac:dyDescent="0.35">
      <c r="A167" s="1" t="s">
        <v>13</v>
      </c>
      <c r="B167" s="1" t="s">
        <v>7</v>
      </c>
      <c r="C167" s="1" t="s">
        <v>8</v>
      </c>
      <c r="D167" s="1" t="s">
        <v>8</v>
      </c>
      <c r="E167" s="1">
        <v>1</v>
      </c>
      <c r="F167" s="1">
        <v>0.94932329999937703</v>
      </c>
      <c r="G167" s="1">
        <f t="shared" si="2"/>
        <v>949.32329999937701</v>
      </c>
    </row>
    <row r="168" spans="1:7" x14ac:dyDescent="0.35">
      <c r="A168" s="1" t="s">
        <v>6</v>
      </c>
      <c r="B168" s="1" t="s">
        <v>7</v>
      </c>
      <c r="C168" s="1" t="s">
        <v>8</v>
      </c>
      <c r="D168" s="1" t="s">
        <v>8</v>
      </c>
      <c r="E168" s="1">
        <v>1</v>
      </c>
      <c r="F168" s="1">
        <v>2.9091647000004701</v>
      </c>
      <c r="G168" s="1">
        <f t="shared" si="2"/>
        <v>2909.16470000047</v>
      </c>
    </row>
    <row r="169" spans="1:7" x14ac:dyDescent="0.35">
      <c r="A169" s="1" t="s">
        <v>23</v>
      </c>
      <c r="B169" s="1" t="s">
        <v>10</v>
      </c>
      <c r="C169" s="1" t="s">
        <v>11</v>
      </c>
      <c r="D169" s="1" t="s">
        <v>8</v>
      </c>
      <c r="E169" s="1">
        <v>0</v>
      </c>
      <c r="F169" s="1">
        <v>0.74461689999952796</v>
      </c>
      <c r="G169" s="1">
        <f t="shared" si="2"/>
        <v>744.61689999952796</v>
      </c>
    </row>
    <row r="170" spans="1:7" x14ac:dyDescent="0.35">
      <c r="A170" s="1" t="s">
        <v>15</v>
      </c>
      <c r="B170" s="1" t="s">
        <v>7</v>
      </c>
      <c r="C170" s="1" t="s">
        <v>8</v>
      </c>
      <c r="D170" s="1" t="s">
        <v>8</v>
      </c>
      <c r="E170" s="1">
        <v>1</v>
      </c>
      <c r="F170" s="1">
        <v>0.56935740000062596</v>
      </c>
      <c r="G170" s="1">
        <f t="shared" si="2"/>
        <v>569.35740000062594</v>
      </c>
    </row>
    <row r="171" spans="1:7" x14ac:dyDescent="0.35">
      <c r="A171" s="1" t="s">
        <v>12</v>
      </c>
      <c r="B171" s="1" t="s">
        <v>7</v>
      </c>
      <c r="C171" s="1" t="s">
        <v>8</v>
      </c>
      <c r="D171" s="1" t="s">
        <v>8</v>
      </c>
      <c r="E171" s="1">
        <v>1</v>
      </c>
      <c r="F171" s="1">
        <v>0.42456309999943098</v>
      </c>
      <c r="G171" s="1">
        <f t="shared" si="2"/>
        <v>424.56309999943096</v>
      </c>
    </row>
    <row r="172" spans="1:7" x14ac:dyDescent="0.35">
      <c r="A172" s="1" t="s">
        <v>29</v>
      </c>
      <c r="B172" s="1" t="s">
        <v>7</v>
      </c>
      <c r="C172" s="1" t="s">
        <v>8</v>
      </c>
      <c r="D172" s="1" t="s">
        <v>8</v>
      </c>
      <c r="E172" s="1">
        <v>1</v>
      </c>
      <c r="F172" s="1">
        <v>0.36247199999979701</v>
      </c>
      <c r="G172" s="1">
        <f t="shared" si="2"/>
        <v>362.47199999979699</v>
      </c>
    </row>
    <row r="173" spans="1:7" x14ac:dyDescent="0.35">
      <c r="A173" s="1" t="s">
        <v>22</v>
      </c>
      <c r="B173" s="1" t="s">
        <v>7</v>
      </c>
      <c r="C173" s="1" t="s">
        <v>8</v>
      </c>
      <c r="D173" s="1" t="s">
        <v>8</v>
      </c>
      <c r="E173" s="1">
        <v>1</v>
      </c>
      <c r="F173" s="1">
        <v>0.42041620000054503</v>
      </c>
      <c r="G173" s="1">
        <f t="shared" si="2"/>
        <v>420.41620000054502</v>
      </c>
    </row>
    <row r="174" spans="1:7" x14ac:dyDescent="0.35">
      <c r="A174" s="1" t="s">
        <v>18</v>
      </c>
      <c r="B174" s="1" t="s">
        <v>7</v>
      </c>
      <c r="C174" s="1" t="s">
        <v>8</v>
      </c>
      <c r="D174" s="1" t="s">
        <v>8</v>
      </c>
      <c r="E174" s="1">
        <v>1</v>
      </c>
      <c r="F174" s="1">
        <v>0.43285920000016598</v>
      </c>
      <c r="G174" s="1">
        <f t="shared" si="2"/>
        <v>432.85920000016597</v>
      </c>
    </row>
    <row r="175" spans="1:7" x14ac:dyDescent="0.35">
      <c r="A175" s="1" t="s">
        <v>17</v>
      </c>
      <c r="B175" s="1" t="s">
        <v>10</v>
      </c>
      <c r="C175" s="1" t="s">
        <v>11</v>
      </c>
      <c r="D175" s="1" t="s">
        <v>8</v>
      </c>
      <c r="E175" s="1">
        <v>0</v>
      </c>
      <c r="F175" s="1">
        <v>0.43710729999929698</v>
      </c>
      <c r="G175" s="1">
        <f t="shared" si="2"/>
        <v>437.10729999929697</v>
      </c>
    </row>
    <row r="176" spans="1:7" x14ac:dyDescent="0.35">
      <c r="A176" s="1" t="s">
        <v>24</v>
      </c>
      <c r="B176" s="1" t="s">
        <v>7</v>
      </c>
      <c r="C176" s="1" t="s">
        <v>8</v>
      </c>
      <c r="D176" s="1" t="s">
        <v>8</v>
      </c>
      <c r="E176" s="1">
        <v>1</v>
      </c>
      <c r="F176" s="1">
        <v>0.505316000000675</v>
      </c>
      <c r="G176" s="1">
        <f t="shared" si="2"/>
        <v>505.31600000067499</v>
      </c>
    </row>
    <row r="177" spans="1:7" x14ac:dyDescent="0.35">
      <c r="A177" s="1" t="s">
        <v>20</v>
      </c>
      <c r="B177" s="1" t="s">
        <v>10</v>
      </c>
      <c r="C177" s="1" t="s">
        <v>11</v>
      </c>
      <c r="D177" s="1" t="s">
        <v>11</v>
      </c>
      <c r="E177" s="1">
        <v>1</v>
      </c>
      <c r="F177" s="1">
        <v>1.17059169999993</v>
      </c>
      <c r="G177" s="1">
        <f t="shared" si="2"/>
        <v>1170.5916999999299</v>
      </c>
    </row>
    <row r="178" spans="1:7" x14ac:dyDescent="0.35">
      <c r="A178" s="1" t="s">
        <v>26</v>
      </c>
      <c r="B178" s="1" t="s">
        <v>10</v>
      </c>
      <c r="C178" s="1" t="s">
        <v>11</v>
      </c>
      <c r="D178" s="1" t="s">
        <v>8</v>
      </c>
      <c r="E178" s="1">
        <v>0</v>
      </c>
      <c r="F178" s="1">
        <v>0.75493299999925501</v>
      </c>
      <c r="G178" s="1">
        <f t="shared" si="2"/>
        <v>754.932999999255</v>
      </c>
    </row>
    <row r="179" spans="1:7" x14ac:dyDescent="0.35">
      <c r="A179" s="1" t="s">
        <v>14</v>
      </c>
      <c r="B179" s="1" t="s">
        <v>10</v>
      </c>
      <c r="C179" s="1" t="s">
        <v>11</v>
      </c>
      <c r="D179" s="1" t="s">
        <v>8</v>
      </c>
      <c r="E179" s="1">
        <v>0</v>
      </c>
      <c r="F179" s="1">
        <v>0.92742670000006899</v>
      </c>
      <c r="G179" s="1">
        <f t="shared" si="2"/>
        <v>927.42670000006899</v>
      </c>
    </row>
    <row r="180" spans="1:7" x14ac:dyDescent="0.35">
      <c r="A180" s="1" t="s">
        <v>27</v>
      </c>
      <c r="B180" s="1" t="s">
        <v>7</v>
      </c>
      <c r="C180" s="1" t="s">
        <v>8</v>
      </c>
      <c r="D180" s="1" t="s">
        <v>8</v>
      </c>
      <c r="E180" s="1">
        <v>1</v>
      </c>
      <c r="F180" s="1">
        <v>0.78210560000024998</v>
      </c>
      <c r="G180" s="1">
        <f t="shared" si="2"/>
        <v>782.10560000024998</v>
      </c>
    </row>
    <row r="181" spans="1:7" x14ac:dyDescent="0.35">
      <c r="A181" s="1" t="s">
        <v>28</v>
      </c>
      <c r="B181" s="1" t="s">
        <v>10</v>
      </c>
      <c r="C181" s="1" t="s">
        <v>11</v>
      </c>
      <c r="D181" s="1" t="s">
        <v>11</v>
      </c>
      <c r="E181" s="1">
        <v>1</v>
      </c>
      <c r="F181" s="1">
        <v>0.63281559999995796</v>
      </c>
      <c r="G181" s="1">
        <f t="shared" si="2"/>
        <v>632.81559999995795</v>
      </c>
    </row>
    <row r="182" spans="1:7" x14ac:dyDescent="0.35">
      <c r="A182" s="1" t="s">
        <v>27</v>
      </c>
      <c r="B182" s="1" t="s">
        <v>7</v>
      </c>
      <c r="C182" s="1" t="s">
        <v>8</v>
      </c>
      <c r="D182" s="1" t="s">
        <v>8</v>
      </c>
      <c r="E182" s="1">
        <v>1</v>
      </c>
      <c r="F182" s="1">
        <v>0.51294700000016702</v>
      </c>
      <c r="G182" s="1">
        <f t="shared" si="2"/>
        <v>512.94700000016701</v>
      </c>
    </row>
    <row r="183" spans="1:7" x14ac:dyDescent="0.35">
      <c r="A183" s="1" t="s">
        <v>22</v>
      </c>
      <c r="B183" s="1" t="s">
        <v>7</v>
      </c>
      <c r="C183" s="1" t="s">
        <v>8</v>
      </c>
      <c r="D183" s="1" t="s">
        <v>8</v>
      </c>
      <c r="E183" s="1">
        <v>1</v>
      </c>
      <c r="F183" s="1">
        <v>1.14397629999984</v>
      </c>
      <c r="G183" s="1">
        <f t="shared" si="2"/>
        <v>1143.97629999984</v>
      </c>
    </row>
    <row r="184" spans="1:7" x14ac:dyDescent="0.35">
      <c r="A184" s="1" t="s">
        <v>23</v>
      </c>
      <c r="B184" s="1" t="s">
        <v>10</v>
      </c>
      <c r="C184" s="1" t="s">
        <v>11</v>
      </c>
      <c r="D184" s="1" t="s">
        <v>8</v>
      </c>
      <c r="E184" s="1">
        <v>0</v>
      </c>
      <c r="F184" s="1">
        <v>0.455868800000644</v>
      </c>
      <c r="G184" s="1">
        <f t="shared" si="2"/>
        <v>455.868800000644</v>
      </c>
    </row>
    <row r="185" spans="1:7" x14ac:dyDescent="0.35">
      <c r="A185" s="1" t="s">
        <v>14</v>
      </c>
      <c r="B185" s="1" t="s">
        <v>10</v>
      </c>
      <c r="C185" s="1" t="s">
        <v>11</v>
      </c>
      <c r="D185" s="1" t="s">
        <v>8</v>
      </c>
      <c r="E185" s="1">
        <v>0</v>
      </c>
      <c r="F185" s="1">
        <v>1.2440154000005299</v>
      </c>
      <c r="G185" s="1">
        <f t="shared" si="2"/>
        <v>1244.01540000053</v>
      </c>
    </row>
    <row r="186" spans="1:7" x14ac:dyDescent="0.35">
      <c r="A186" s="1" t="s">
        <v>6</v>
      </c>
      <c r="B186" s="1" t="s">
        <v>7</v>
      </c>
      <c r="C186" s="1" t="s">
        <v>8</v>
      </c>
      <c r="D186" s="1" t="s">
        <v>8</v>
      </c>
      <c r="E186" s="1">
        <v>1</v>
      </c>
      <c r="F186" s="1">
        <v>1.4634369999994301</v>
      </c>
      <c r="G186" s="1">
        <f t="shared" si="2"/>
        <v>1463.4369999994301</v>
      </c>
    </row>
    <row r="187" spans="1:7" x14ac:dyDescent="0.35">
      <c r="A187" s="1" t="s">
        <v>12</v>
      </c>
      <c r="B187" s="1" t="s">
        <v>7</v>
      </c>
      <c r="C187" s="1" t="s">
        <v>8</v>
      </c>
      <c r="D187" s="1" t="s">
        <v>8</v>
      </c>
      <c r="E187" s="1">
        <v>1</v>
      </c>
      <c r="F187" s="1">
        <v>1.61142310000013</v>
      </c>
      <c r="G187" s="1">
        <f t="shared" si="2"/>
        <v>1611.42310000013</v>
      </c>
    </row>
    <row r="188" spans="1:7" x14ac:dyDescent="0.35">
      <c r="A188" s="1" t="s">
        <v>20</v>
      </c>
      <c r="B188" s="1" t="s">
        <v>10</v>
      </c>
      <c r="C188" s="1" t="s">
        <v>11</v>
      </c>
      <c r="D188" s="1" t="s">
        <v>8</v>
      </c>
      <c r="E188" s="1">
        <v>0</v>
      </c>
      <c r="F188" s="1">
        <v>0.44544720000067101</v>
      </c>
      <c r="G188" s="1">
        <f t="shared" si="2"/>
        <v>445.44720000067099</v>
      </c>
    </row>
    <row r="189" spans="1:7" x14ac:dyDescent="0.35">
      <c r="A189" s="1" t="s">
        <v>15</v>
      </c>
      <c r="B189" s="1" t="s">
        <v>7</v>
      </c>
      <c r="C189" s="1" t="s">
        <v>8</v>
      </c>
      <c r="D189" s="1" t="s">
        <v>8</v>
      </c>
      <c r="E189" s="1">
        <v>1</v>
      </c>
      <c r="F189" s="1">
        <v>0.52696550000018705</v>
      </c>
      <c r="G189" s="1">
        <f t="shared" si="2"/>
        <v>526.96550000018703</v>
      </c>
    </row>
    <row r="190" spans="1:7" x14ac:dyDescent="0.35">
      <c r="A190" s="1" t="s">
        <v>28</v>
      </c>
      <c r="B190" s="1" t="s">
        <v>10</v>
      </c>
      <c r="C190" s="1" t="s">
        <v>11</v>
      </c>
      <c r="D190" s="1" t="s">
        <v>11</v>
      </c>
      <c r="E190" s="1">
        <v>1</v>
      </c>
      <c r="F190" s="1">
        <v>0.57027759999982597</v>
      </c>
      <c r="G190" s="1">
        <f t="shared" si="2"/>
        <v>570.27759999982595</v>
      </c>
    </row>
    <row r="191" spans="1:7" x14ac:dyDescent="0.35">
      <c r="A191" s="1" t="s">
        <v>16</v>
      </c>
      <c r="B191" s="1" t="s">
        <v>10</v>
      </c>
      <c r="C191" s="1" t="s">
        <v>11</v>
      </c>
      <c r="D191" s="1" t="s">
        <v>8</v>
      </c>
      <c r="E191" s="1">
        <v>0</v>
      </c>
      <c r="F191" s="1">
        <v>0.64590009999938003</v>
      </c>
      <c r="G191" s="1">
        <f t="shared" si="2"/>
        <v>645.90009999938002</v>
      </c>
    </row>
    <row r="192" spans="1:7" x14ac:dyDescent="0.35">
      <c r="A192" s="1" t="s">
        <v>19</v>
      </c>
      <c r="B192" s="1" t="s">
        <v>7</v>
      </c>
      <c r="C192" s="1" t="s">
        <v>8</v>
      </c>
      <c r="D192" s="1" t="s">
        <v>11</v>
      </c>
      <c r="E192" s="1">
        <v>0</v>
      </c>
      <c r="F192" s="1">
        <v>1.03256109999983</v>
      </c>
      <c r="G192" s="1">
        <f t="shared" si="2"/>
        <v>1032.56109999983</v>
      </c>
    </row>
    <row r="193" spans="1:7" x14ac:dyDescent="0.35">
      <c r="A193" s="1" t="s">
        <v>13</v>
      </c>
      <c r="B193" s="1" t="s">
        <v>7</v>
      </c>
      <c r="C193" s="1" t="s">
        <v>8</v>
      </c>
      <c r="D193" s="1" t="s">
        <v>8</v>
      </c>
      <c r="E193" s="1">
        <v>1</v>
      </c>
      <c r="F193" s="1">
        <v>0.85796480000044495</v>
      </c>
      <c r="G193" s="1">
        <f t="shared" si="2"/>
        <v>857.96480000044494</v>
      </c>
    </row>
    <row r="194" spans="1:7" x14ac:dyDescent="0.35">
      <c r="A194" s="1" t="s">
        <v>17</v>
      </c>
      <c r="B194" s="1" t="s">
        <v>10</v>
      </c>
      <c r="C194" s="1" t="s">
        <v>11</v>
      </c>
      <c r="D194" s="1" t="s">
        <v>8</v>
      </c>
      <c r="E194" s="1">
        <v>0</v>
      </c>
      <c r="F194" s="1">
        <v>1.5015613999994399</v>
      </c>
      <c r="G194" s="1">
        <f t="shared" si="2"/>
        <v>1501.56139999944</v>
      </c>
    </row>
    <row r="195" spans="1:7" x14ac:dyDescent="0.35">
      <c r="A195" s="1" t="s">
        <v>29</v>
      </c>
      <c r="B195" s="1" t="s">
        <v>7</v>
      </c>
      <c r="C195" s="1" t="s">
        <v>8</v>
      </c>
      <c r="D195" s="1" t="s">
        <v>8</v>
      </c>
      <c r="E195" s="1">
        <v>1</v>
      </c>
      <c r="F195" s="1">
        <v>0.46320930000001598</v>
      </c>
      <c r="G195" s="1">
        <f t="shared" ref="G195:G201" si="3">F195*1000</f>
        <v>463.20930000001596</v>
      </c>
    </row>
    <row r="196" spans="1:7" x14ac:dyDescent="0.35">
      <c r="A196" s="1" t="s">
        <v>9</v>
      </c>
      <c r="B196" s="1" t="s">
        <v>10</v>
      </c>
      <c r="C196" s="1" t="s">
        <v>11</v>
      </c>
      <c r="D196" s="1" t="s">
        <v>8</v>
      </c>
      <c r="E196" s="1">
        <v>0</v>
      </c>
      <c r="F196" s="1">
        <v>0.72826859999986404</v>
      </c>
      <c r="G196" s="1">
        <f t="shared" si="3"/>
        <v>728.26859999986402</v>
      </c>
    </row>
    <row r="197" spans="1:7" x14ac:dyDescent="0.35">
      <c r="A197" s="1" t="s">
        <v>21</v>
      </c>
      <c r="B197" s="1" t="s">
        <v>10</v>
      </c>
      <c r="C197" s="1" t="s">
        <v>11</v>
      </c>
      <c r="D197" s="1" t="s">
        <v>8</v>
      </c>
      <c r="E197" s="1">
        <v>0</v>
      </c>
      <c r="F197" s="1">
        <v>0.58640439999999205</v>
      </c>
      <c r="G197" s="1">
        <f t="shared" si="3"/>
        <v>586.40439999999205</v>
      </c>
    </row>
    <row r="198" spans="1:7" x14ac:dyDescent="0.35">
      <c r="A198" s="1" t="s">
        <v>24</v>
      </c>
      <c r="B198" s="1" t="s">
        <v>7</v>
      </c>
      <c r="C198" s="1" t="s">
        <v>8</v>
      </c>
      <c r="D198" s="1" t="s">
        <v>8</v>
      </c>
      <c r="E198" s="1">
        <v>1</v>
      </c>
      <c r="F198" s="1">
        <v>0.47079670000039098</v>
      </c>
      <c r="G198" s="1">
        <f t="shared" si="3"/>
        <v>470.79670000039096</v>
      </c>
    </row>
    <row r="199" spans="1:7" x14ac:dyDescent="0.35">
      <c r="A199" s="1" t="s">
        <v>26</v>
      </c>
      <c r="B199" s="1" t="s">
        <v>10</v>
      </c>
      <c r="C199" s="1" t="s">
        <v>11</v>
      </c>
      <c r="D199" s="1" t="s">
        <v>11</v>
      </c>
      <c r="E199" s="1">
        <v>1</v>
      </c>
      <c r="F199" s="1">
        <v>3.0311945000003102</v>
      </c>
      <c r="G199" s="1">
        <f t="shared" si="3"/>
        <v>3031.1945000003102</v>
      </c>
    </row>
    <row r="200" spans="1:7" x14ac:dyDescent="0.35">
      <c r="A200" s="1" t="s">
        <v>18</v>
      </c>
      <c r="B200" s="1" t="s">
        <v>7</v>
      </c>
      <c r="C200" s="1" t="s">
        <v>8</v>
      </c>
      <c r="D200" s="1" t="s">
        <v>8</v>
      </c>
      <c r="E200" s="1">
        <v>1</v>
      </c>
      <c r="F200" s="1">
        <v>0.44636850000006201</v>
      </c>
      <c r="G200" s="1">
        <f t="shared" si="3"/>
        <v>446.368500000062</v>
      </c>
    </row>
    <row r="201" spans="1:7" x14ac:dyDescent="0.35">
      <c r="A201" s="1" t="s">
        <v>25</v>
      </c>
      <c r="B201" s="1" t="s">
        <v>10</v>
      </c>
      <c r="C201" s="1" t="s">
        <v>11</v>
      </c>
      <c r="D201" s="1" t="s">
        <v>11</v>
      </c>
      <c r="E201" s="1">
        <v>1</v>
      </c>
      <c r="F201" s="1">
        <v>6.1689115999997703</v>
      </c>
      <c r="G201" s="1">
        <f t="shared" si="3"/>
        <v>6168.9115999997703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543AE-E59E-4DC9-83C1-018F7A4A127D}">
  <dimension ref="A1:K201"/>
  <sheetViews>
    <sheetView workbookViewId="0">
      <selection activeCell="I10" sqref="I10:J12"/>
    </sheetView>
  </sheetViews>
  <sheetFormatPr defaultRowHeight="14.5" x14ac:dyDescent="0.35"/>
  <cols>
    <col min="1" max="47" width="12.906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30</v>
      </c>
    </row>
    <row r="2" spans="1:11" x14ac:dyDescent="0.35">
      <c r="A2" s="1" t="s">
        <v>23</v>
      </c>
      <c r="B2" s="1" t="s">
        <v>10</v>
      </c>
      <c r="C2" s="1" t="s">
        <v>11</v>
      </c>
      <c r="D2" s="1" t="s">
        <v>8</v>
      </c>
      <c r="E2" s="1">
        <v>0</v>
      </c>
      <c r="F2" s="1">
        <v>2.8567965000002</v>
      </c>
      <c r="G2" s="1">
        <f>F2*1000</f>
        <v>2856.7965000002</v>
      </c>
    </row>
    <row r="3" spans="1:11" x14ac:dyDescent="0.35">
      <c r="A3" s="1" t="s">
        <v>9</v>
      </c>
      <c r="B3" s="1" t="s">
        <v>10</v>
      </c>
      <c r="C3" s="1" t="s">
        <v>11</v>
      </c>
      <c r="D3" s="1" t="s">
        <v>8</v>
      </c>
      <c r="E3" s="1">
        <v>0</v>
      </c>
      <c r="F3" s="1">
        <v>0.93885099999897603</v>
      </c>
      <c r="G3" s="1">
        <f t="shared" ref="G3:G66" si="0">F3*1000</f>
        <v>938.85099999897602</v>
      </c>
    </row>
    <row r="4" spans="1:11" x14ac:dyDescent="0.35">
      <c r="A4" s="1" t="s">
        <v>12</v>
      </c>
      <c r="B4" s="1" t="s">
        <v>7</v>
      </c>
      <c r="C4" s="1" t="s">
        <v>8</v>
      </c>
      <c r="D4" s="1" t="s">
        <v>8</v>
      </c>
      <c r="E4" s="1">
        <v>1</v>
      </c>
      <c r="F4" s="1">
        <v>0.76233249999859198</v>
      </c>
      <c r="G4" s="1">
        <f t="shared" si="0"/>
        <v>762.33249999859197</v>
      </c>
    </row>
    <row r="5" spans="1:11" x14ac:dyDescent="0.35">
      <c r="A5" s="1" t="s">
        <v>26</v>
      </c>
      <c r="B5" s="1" t="s">
        <v>10</v>
      </c>
      <c r="C5" s="1" t="s">
        <v>11</v>
      </c>
      <c r="D5" s="1" t="s">
        <v>11</v>
      </c>
      <c r="E5" s="1">
        <v>1</v>
      </c>
      <c r="F5" s="1">
        <v>1.0558239000001699</v>
      </c>
      <c r="G5" s="1">
        <f t="shared" si="0"/>
        <v>1055.8239000001699</v>
      </c>
    </row>
    <row r="6" spans="1:11" x14ac:dyDescent="0.35">
      <c r="A6" s="1" t="s">
        <v>28</v>
      </c>
      <c r="B6" s="1" t="s">
        <v>10</v>
      </c>
      <c r="C6" s="1" t="s">
        <v>11</v>
      </c>
      <c r="D6" s="1" t="s">
        <v>11</v>
      </c>
      <c r="E6" s="1">
        <v>1</v>
      </c>
      <c r="F6" s="1">
        <v>0.86138749999918196</v>
      </c>
      <c r="G6" s="1">
        <f t="shared" si="0"/>
        <v>861.38749999918195</v>
      </c>
      <c r="I6" s="1" t="s">
        <v>31</v>
      </c>
      <c r="J6" s="1" t="s">
        <v>32</v>
      </c>
      <c r="K6" s="1" t="s">
        <v>33</v>
      </c>
    </row>
    <row r="7" spans="1:11" x14ac:dyDescent="0.35">
      <c r="A7" s="1" t="s">
        <v>20</v>
      </c>
      <c r="B7" s="1" t="s">
        <v>10</v>
      </c>
      <c r="C7" s="1" t="s">
        <v>11</v>
      </c>
      <c r="D7" s="1" t="s">
        <v>11</v>
      </c>
      <c r="E7" s="1">
        <v>1</v>
      </c>
      <c r="F7" s="1">
        <v>0.89116119999926002</v>
      </c>
      <c r="G7" s="1">
        <f t="shared" si="0"/>
        <v>891.16119999926002</v>
      </c>
      <c r="I7" s="1" t="s">
        <v>34</v>
      </c>
      <c r="J7" s="1">
        <f>AVERAGEIF(B1:B201,"word",E1:E201)*100</f>
        <v>99</v>
      </c>
      <c r="K7" s="1">
        <f>COUNTIFS(B1:B201,"word",E1:E201,0)</f>
        <v>1</v>
      </c>
    </row>
    <row r="8" spans="1:11" x14ac:dyDescent="0.35">
      <c r="A8" s="1" t="s">
        <v>17</v>
      </c>
      <c r="B8" s="1" t="s">
        <v>10</v>
      </c>
      <c r="C8" s="1" t="s">
        <v>11</v>
      </c>
      <c r="D8" s="1" t="s">
        <v>11</v>
      </c>
      <c r="E8" s="1">
        <v>1</v>
      </c>
      <c r="F8" s="1">
        <v>0.64421330000004595</v>
      </c>
      <c r="G8" s="1">
        <f t="shared" si="0"/>
        <v>644.21330000004593</v>
      </c>
      <c r="I8" s="1" t="s">
        <v>35</v>
      </c>
      <c r="J8" s="1">
        <f>AVERAGEIF(B1:B201,"nonword",E1:E201)*100</f>
        <v>55.000000000000007</v>
      </c>
      <c r="K8" s="1">
        <f>COUNTIFS(B1:B201,"nonword",E1:E201,0)</f>
        <v>45</v>
      </c>
    </row>
    <row r="9" spans="1:11" x14ac:dyDescent="0.35">
      <c r="A9" s="1" t="s">
        <v>21</v>
      </c>
      <c r="B9" s="1" t="s">
        <v>10</v>
      </c>
      <c r="C9" s="1" t="s">
        <v>11</v>
      </c>
      <c r="D9" s="1" t="s">
        <v>11</v>
      </c>
      <c r="E9" s="1">
        <v>1</v>
      </c>
      <c r="F9" s="1">
        <v>5.9430503000003201</v>
      </c>
      <c r="G9" s="1">
        <f t="shared" si="0"/>
        <v>5943.05030000032</v>
      </c>
    </row>
    <row r="10" spans="1:11" x14ac:dyDescent="0.35">
      <c r="A10" s="1" t="s">
        <v>6</v>
      </c>
      <c r="B10" s="1" t="s">
        <v>7</v>
      </c>
      <c r="C10" s="1" t="s">
        <v>8</v>
      </c>
      <c r="D10" s="1" t="s">
        <v>8</v>
      </c>
      <c r="E10" s="1">
        <v>1</v>
      </c>
      <c r="F10" s="1">
        <v>0.58877049999864495</v>
      </c>
      <c r="G10" s="1">
        <f t="shared" si="0"/>
        <v>588.77049999864494</v>
      </c>
      <c r="I10" s="1" t="s">
        <v>36</v>
      </c>
      <c r="J10" s="1" t="s">
        <v>37</v>
      </c>
    </row>
    <row r="11" spans="1:11" x14ac:dyDescent="0.35">
      <c r="A11" s="1" t="s">
        <v>18</v>
      </c>
      <c r="B11" s="1" t="s">
        <v>7</v>
      </c>
      <c r="C11" s="1" t="s">
        <v>8</v>
      </c>
      <c r="D11" s="1" t="s">
        <v>8</v>
      </c>
      <c r="E11" s="1">
        <v>1</v>
      </c>
      <c r="F11" s="1">
        <v>3.4701275999996102</v>
      </c>
      <c r="G11" s="1">
        <f t="shared" si="0"/>
        <v>3470.1275999996101</v>
      </c>
      <c r="I11" s="1" t="s">
        <v>34</v>
      </c>
      <c r="J11" s="1">
        <f>AVERAGEIF(B1:B201,"word",F1:F201)</f>
        <v>1.0438090599999474</v>
      </c>
    </row>
    <row r="12" spans="1:11" x14ac:dyDescent="0.35">
      <c r="A12" s="1" t="s">
        <v>19</v>
      </c>
      <c r="B12" s="1" t="s">
        <v>7</v>
      </c>
      <c r="C12" s="1" t="s">
        <v>8</v>
      </c>
      <c r="D12" s="1" t="s">
        <v>8</v>
      </c>
      <c r="E12" s="1">
        <v>1</v>
      </c>
      <c r="F12" s="1">
        <v>0.83605010000064695</v>
      </c>
      <c r="G12" s="1">
        <f t="shared" si="0"/>
        <v>836.05010000064692</v>
      </c>
      <c r="I12" s="1" t="s">
        <v>38</v>
      </c>
      <c r="J12" s="1">
        <f>AVERAGEIF(B1:B201,"nonword",F1:F201)</f>
        <v>1.5067770359999275</v>
      </c>
    </row>
    <row r="13" spans="1:11" x14ac:dyDescent="0.35">
      <c r="A13" s="1" t="s">
        <v>14</v>
      </c>
      <c r="B13" s="1" t="s">
        <v>10</v>
      </c>
      <c r="C13" s="1" t="s">
        <v>11</v>
      </c>
      <c r="D13" s="1" t="s">
        <v>11</v>
      </c>
      <c r="E13" s="1">
        <v>1</v>
      </c>
      <c r="F13" s="1">
        <v>1.8522474000001199</v>
      </c>
      <c r="G13" s="1">
        <f t="shared" si="0"/>
        <v>1852.2474000001198</v>
      </c>
    </row>
    <row r="14" spans="1:11" x14ac:dyDescent="0.35">
      <c r="A14" s="1" t="s">
        <v>25</v>
      </c>
      <c r="B14" s="1" t="s">
        <v>10</v>
      </c>
      <c r="C14" s="1" t="s">
        <v>11</v>
      </c>
      <c r="D14" s="1" t="s">
        <v>8</v>
      </c>
      <c r="E14" s="1">
        <v>0</v>
      </c>
      <c r="F14" s="1">
        <v>0.66063279999980296</v>
      </c>
      <c r="G14" s="1">
        <f t="shared" si="0"/>
        <v>660.63279999980296</v>
      </c>
    </row>
    <row r="15" spans="1:11" x14ac:dyDescent="0.35">
      <c r="A15" s="1" t="s">
        <v>15</v>
      </c>
      <c r="B15" s="1" t="s">
        <v>7</v>
      </c>
      <c r="C15" s="1" t="s">
        <v>8</v>
      </c>
      <c r="D15" s="1" t="s">
        <v>8</v>
      </c>
      <c r="E15" s="1">
        <v>1</v>
      </c>
      <c r="F15" s="1">
        <v>0.59361650000027999</v>
      </c>
      <c r="G15" s="1">
        <f t="shared" si="0"/>
        <v>593.61650000027998</v>
      </c>
    </row>
    <row r="16" spans="1:11" x14ac:dyDescent="0.35">
      <c r="A16" s="1" t="s">
        <v>13</v>
      </c>
      <c r="B16" s="1" t="s">
        <v>7</v>
      </c>
      <c r="C16" s="1" t="s">
        <v>8</v>
      </c>
      <c r="D16" s="1" t="s">
        <v>8</v>
      </c>
      <c r="E16" s="1">
        <v>1</v>
      </c>
      <c r="F16" s="1">
        <v>0.55084119999992198</v>
      </c>
      <c r="G16" s="1">
        <f t="shared" si="0"/>
        <v>550.84119999992197</v>
      </c>
    </row>
    <row r="17" spans="1:7" x14ac:dyDescent="0.35">
      <c r="A17" s="1" t="s">
        <v>29</v>
      </c>
      <c r="B17" s="1" t="s">
        <v>7</v>
      </c>
      <c r="C17" s="1" t="s">
        <v>8</v>
      </c>
      <c r="D17" s="1" t="s">
        <v>8</v>
      </c>
      <c r="E17" s="1">
        <v>1</v>
      </c>
      <c r="F17" s="1">
        <v>0.42373790000056</v>
      </c>
      <c r="G17" s="1">
        <f t="shared" si="0"/>
        <v>423.73790000055999</v>
      </c>
    </row>
    <row r="18" spans="1:7" x14ac:dyDescent="0.35">
      <c r="A18" s="1" t="s">
        <v>22</v>
      </c>
      <c r="B18" s="1" t="s">
        <v>7</v>
      </c>
      <c r="C18" s="1" t="s">
        <v>8</v>
      </c>
      <c r="D18" s="1" t="s">
        <v>8</v>
      </c>
      <c r="E18" s="1">
        <v>1</v>
      </c>
      <c r="F18" s="1">
        <v>0.420626099999935</v>
      </c>
      <c r="G18" s="1">
        <f t="shared" si="0"/>
        <v>420.62609999993498</v>
      </c>
    </row>
    <row r="19" spans="1:7" x14ac:dyDescent="0.35">
      <c r="A19" s="1" t="s">
        <v>16</v>
      </c>
      <c r="B19" s="1" t="s">
        <v>10</v>
      </c>
      <c r="C19" s="1" t="s">
        <v>11</v>
      </c>
      <c r="D19" s="1" t="s">
        <v>8</v>
      </c>
      <c r="E19" s="1">
        <v>0</v>
      </c>
      <c r="F19" s="1">
        <v>0.36654570000064202</v>
      </c>
      <c r="G19" s="1">
        <f t="shared" si="0"/>
        <v>366.545700000642</v>
      </c>
    </row>
    <row r="20" spans="1:7" x14ac:dyDescent="0.35">
      <c r="A20" s="1" t="s">
        <v>27</v>
      </c>
      <c r="B20" s="1" t="s">
        <v>7</v>
      </c>
      <c r="C20" s="1" t="s">
        <v>8</v>
      </c>
      <c r="D20" s="1" t="s">
        <v>8</v>
      </c>
      <c r="E20" s="1">
        <v>1</v>
      </c>
      <c r="F20" s="1">
        <v>1.12038060000122</v>
      </c>
      <c r="G20" s="1">
        <f t="shared" si="0"/>
        <v>1120.38060000122</v>
      </c>
    </row>
    <row r="21" spans="1:7" x14ac:dyDescent="0.35">
      <c r="A21" s="1" t="s">
        <v>24</v>
      </c>
      <c r="B21" s="1" t="s">
        <v>7</v>
      </c>
      <c r="C21" s="1" t="s">
        <v>8</v>
      </c>
      <c r="D21" s="1" t="s">
        <v>8</v>
      </c>
      <c r="E21" s="1">
        <v>1</v>
      </c>
      <c r="F21" s="1">
        <v>1.04241959999853</v>
      </c>
      <c r="G21" s="1">
        <f t="shared" si="0"/>
        <v>1042.41959999853</v>
      </c>
    </row>
    <row r="22" spans="1:7" x14ac:dyDescent="0.35">
      <c r="A22" s="1" t="s">
        <v>23</v>
      </c>
      <c r="B22" s="1" t="s">
        <v>10</v>
      </c>
      <c r="C22" s="1" t="s">
        <v>11</v>
      </c>
      <c r="D22" s="1" t="s">
        <v>8</v>
      </c>
      <c r="E22" s="1">
        <v>0</v>
      </c>
      <c r="F22" s="1">
        <v>2.5904126999994301</v>
      </c>
      <c r="G22" s="1">
        <f t="shared" si="0"/>
        <v>2590.4126999994301</v>
      </c>
    </row>
    <row r="23" spans="1:7" x14ac:dyDescent="0.35">
      <c r="A23" s="1" t="s">
        <v>21</v>
      </c>
      <c r="B23" s="1" t="s">
        <v>10</v>
      </c>
      <c r="C23" s="1" t="s">
        <v>11</v>
      </c>
      <c r="D23" s="1" t="s">
        <v>11</v>
      </c>
      <c r="E23" s="1">
        <v>1</v>
      </c>
      <c r="F23" s="1">
        <v>2.1543576000003601</v>
      </c>
      <c r="G23" s="1">
        <f t="shared" si="0"/>
        <v>2154.35760000036</v>
      </c>
    </row>
    <row r="24" spans="1:7" x14ac:dyDescent="0.35">
      <c r="A24" s="1" t="s">
        <v>24</v>
      </c>
      <c r="B24" s="1" t="s">
        <v>7</v>
      </c>
      <c r="C24" s="1" t="s">
        <v>8</v>
      </c>
      <c r="D24" s="1" t="s">
        <v>8</v>
      </c>
      <c r="E24" s="1">
        <v>1</v>
      </c>
      <c r="F24" s="1">
        <v>0.74507359999915901</v>
      </c>
      <c r="G24" s="1">
        <f t="shared" si="0"/>
        <v>745.073599999159</v>
      </c>
    </row>
    <row r="25" spans="1:7" x14ac:dyDescent="0.35">
      <c r="A25" s="1" t="s">
        <v>17</v>
      </c>
      <c r="B25" s="1" t="s">
        <v>10</v>
      </c>
      <c r="C25" s="1" t="s">
        <v>11</v>
      </c>
      <c r="D25" s="1" t="s">
        <v>11</v>
      </c>
      <c r="E25" s="1">
        <v>1</v>
      </c>
      <c r="F25" s="1">
        <v>1.26128119999884</v>
      </c>
      <c r="G25" s="1">
        <f t="shared" si="0"/>
        <v>1261.2811999988401</v>
      </c>
    </row>
    <row r="26" spans="1:7" x14ac:dyDescent="0.35">
      <c r="A26" s="1" t="s">
        <v>25</v>
      </c>
      <c r="B26" s="1" t="s">
        <v>10</v>
      </c>
      <c r="C26" s="1" t="s">
        <v>11</v>
      </c>
      <c r="D26" s="1" t="s">
        <v>8</v>
      </c>
      <c r="E26" s="1">
        <v>0</v>
      </c>
      <c r="F26" s="1">
        <v>0.70250130000022104</v>
      </c>
      <c r="G26" s="1">
        <f t="shared" si="0"/>
        <v>702.50130000022102</v>
      </c>
    </row>
    <row r="27" spans="1:7" x14ac:dyDescent="0.35">
      <c r="A27" s="1" t="s">
        <v>14</v>
      </c>
      <c r="B27" s="1" t="s">
        <v>10</v>
      </c>
      <c r="C27" s="1" t="s">
        <v>11</v>
      </c>
      <c r="D27" s="1" t="s">
        <v>11</v>
      </c>
      <c r="E27" s="1">
        <v>1</v>
      </c>
      <c r="F27" s="1">
        <v>6.3762996000004897</v>
      </c>
      <c r="G27" s="1">
        <f t="shared" si="0"/>
        <v>6376.2996000004896</v>
      </c>
    </row>
    <row r="28" spans="1:7" x14ac:dyDescent="0.35">
      <c r="A28" s="1" t="s">
        <v>13</v>
      </c>
      <c r="B28" s="1" t="s">
        <v>7</v>
      </c>
      <c r="C28" s="1" t="s">
        <v>8</v>
      </c>
      <c r="D28" s="1" t="s">
        <v>8</v>
      </c>
      <c r="E28" s="1">
        <v>1</v>
      </c>
      <c r="F28" s="1">
        <v>3.7046996000008199</v>
      </c>
      <c r="G28" s="1">
        <f t="shared" si="0"/>
        <v>3704.6996000008198</v>
      </c>
    </row>
    <row r="29" spans="1:7" x14ac:dyDescent="0.35">
      <c r="A29" s="1" t="s">
        <v>16</v>
      </c>
      <c r="B29" s="1" t="s">
        <v>10</v>
      </c>
      <c r="C29" s="1" t="s">
        <v>11</v>
      </c>
      <c r="D29" s="1" t="s">
        <v>8</v>
      </c>
      <c r="E29" s="1">
        <v>0</v>
      </c>
      <c r="F29" s="1">
        <v>3.59515929999906</v>
      </c>
      <c r="G29" s="1">
        <f t="shared" si="0"/>
        <v>3595.1592999990598</v>
      </c>
    </row>
    <row r="30" spans="1:7" x14ac:dyDescent="0.35">
      <c r="A30" s="1" t="s">
        <v>15</v>
      </c>
      <c r="B30" s="1" t="s">
        <v>7</v>
      </c>
      <c r="C30" s="1" t="s">
        <v>8</v>
      </c>
      <c r="D30" s="1" t="s">
        <v>8</v>
      </c>
      <c r="E30" s="1">
        <v>1</v>
      </c>
      <c r="F30" s="1">
        <v>1.9486718999996799</v>
      </c>
      <c r="G30" s="1">
        <f t="shared" si="0"/>
        <v>1948.6718999996799</v>
      </c>
    </row>
    <row r="31" spans="1:7" x14ac:dyDescent="0.35">
      <c r="A31" s="1" t="s">
        <v>9</v>
      </c>
      <c r="B31" s="1" t="s">
        <v>10</v>
      </c>
      <c r="C31" s="1" t="s">
        <v>11</v>
      </c>
      <c r="D31" s="1" t="s">
        <v>8</v>
      </c>
      <c r="E31" s="1">
        <v>0</v>
      </c>
      <c r="F31" s="1">
        <v>2.9052697000006402</v>
      </c>
      <c r="G31" s="1">
        <f t="shared" si="0"/>
        <v>2905.2697000006401</v>
      </c>
    </row>
    <row r="32" spans="1:7" x14ac:dyDescent="0.35">
      <c r="A32" s="1" t="s">
        <v>27</v>
      </c>
      <c r="B32" s="1" t="s">
        <v>7</v>
      </c>
      <c r="C32" s="1" t="s">
        <v>8</v>
      </c>
      <c r="D32" s="1" t="s">
        <v>8</v>
      </c>
      <c r="E32" s="1">
        <v>1</v>
      </c>
      <c r="F32" s="1">
        <v>0.79547159999856298</v>
      </c>
      <c r="G32" s="1">
        <f t="shared" si="0"/>
        <v>795.47159999856297</v>
      </c>
    </row>
    <row r="33" spans="1:7" x14ac:dyDescent="0.35">
      <c r="A33" s="1" t="s">
        <v>26</v>
      </c>
      <c r="B33" s="1" t="s">
        <v>10</v>
      </c>
      <c r="C33" s="1" t="s">
        <v>11</v>
      </c>
      <c r="D33" s="1" t="s">
        <v>11</v>
      </c>
      <c r="E33" s="1">
        <v>1</v>
      </c>
      <c r="F33" s="1">
        <v>1.06519639999896</v>
      </c>
      <c r="G33" s="1">
        <f t="shared" si="0"/>
        <v>1065.19639999896</v>
      </c>
    </row>
    <row r="34" spans="1:7" x14ac:dyDescent="0.35">
      <c r="A34" s="1" t="s">
        <v>28</v>
      </c>
      <c r="B34" s="1" t="s">
        <v>10</v>
      </c>
      <c r="C34" s="1" t="s">
        <v>11</v>
      </c>
      <c r="D34" s="1" t="s">
        <v>11</v>
      </c>
      <c r="E34" s="1">
        <v>1</v>
      </c>
      <c r="F34" s="1">
        <v>0.69666649999999197</v>
      </c>
      <c r="G34" s="1">
        <f t="shared" si="0"/>
        <v>696.66649999999197</v>
      </c>
    </row>
    <row r="35" spans="1:7" x14ac:dyDescent="0.35">
      <c r="A35" s="1" t="s">
        <v>29</v>
      </c>
      <c r="B35" s="1" t="s">
        <v>7</v>
      </c>
      <c r="C35" s="1" t="s">
        <v>8</v>
      </c>
      <c r="D35" s="1" t="s">
        <v>8</v>
      </c>
      <c r="E35" s="1">
        <v>1</v>
      </c>
      <c r="F35" s="1">
        <v>0.73760249999941097</v>
      </c>
      <c r="G35" s="1">
        <f t="shared" si="0"/>
        <v>737.60249999941095</v>
      </c>
    </row>
    <row r="36" spans="1:7" x14ac:dyDescent="0.35">
      <c r="A36" s="1" t="s">
        <v>6</v>
      </c>
      <c r="B36" s="1" t="s">
        <v>7</v>
      </c>
      <c r="C36" s="1" t="s">
        <v>8</v>
      </c>
      <c r="D36" s="1" t="s">
        <v>8</v>
      </c>
      <c r="E36" s="1">
        <v>1</v>
      </c>
      <c r="F36" s="1">
        <v>1.03567420000035</v>
      </c>
      <c r="G36" s="1">
        <f t="shared" si="0"/>
        <v>1035.6742000003501</v>
      </c>
    </row>
    <row r="37" spans="1:7" x14ac:dyDescent="0.35">
      <c r="A37" s="1" t="s">
        <v>19</v>
      </c>
      <c r="B37" s="1" t="s">
        <v>7</v>
      </c>
      <c r="C37" s="1" t="s">
        <v>8</v>
      </c>
      <c r="D37" s="1" t="s">
        <v>8</v>
      </c>
      <c r="E37" s="1">
        <v>1</v>
      </c>
      <c r="F37" s="1">
        <v>4.9501808999993901</v>
      </c>
      <c r="G37" s="1">
        <f t="shared" si="0"/>
        <v>4950.18089999939</v>
      </c>
    </row>
    <row r="38" spans="1:7" x14ac:dyDescent="0.35">
      <c r="A38" s="1" t="s">
        <v>22</v>
      </c>
      <c r="B38" s="1" t="s">
        <v>7</v>
      </c>
      <c r="C38" s="1" t="s">
        <v>8</v>
      </c>
      <c r="D38" s="1" t="s">
        <v>8</v>
      </c>
      <c r="E38" s="1">
        <v>1</v>
      </c>
      <c r="F38" s="1">
        <v>1.2729082000005201</v>
      </c>
      <c r="G38" s="1">
        <f t="shared" si="0"/>
        <v>1272.9082000005201</v>
      </c>
    </row>
    <row r="39" spans="1:7" x14ac:dyDescent="0.35">
      <c r="A39" s="1" t="s">
        <v>18</v>
      </c>
      <c r="B39" s="1" t="s">
        <v>7</v>
      </c>
      <c r="C39" s="1" t="s">
        <v>8</v>
      </c>
      <c r="D39" s="1" t="s">
        <v>8</v>
      </c>
      <c r="E39" s="1">
        <v>1</v>
      </c>
      <c r="F39" s="1">
        <v>0.58856980000018599</v>
      </c>
      <c r="G39" s="1">
        <f t="shared" si="0"/>
        <v>588.56980000018598</v>
      </c>
    </row>
    <row r="40" spans="1:7" x14ac:dyDescent="0.35">
      <c r="A40" s="1" t="s">
        <v>12</v>
      </c>
      <c r="B40" s="1" t="s">
        <v>7</v>
      </c>
      <c r="C40" s="1" t="s">
        <v>8</v>
      </c>
      <c r="D40" s="1" t="s">
        <v>8</v>
      </c>
      <c r="E40" s="1">
        <v>1</v>
      </c>
      <c r="F40" s="1">
        <v>7.4607510999994702</v>
      </c>
      <c r="G40" s="1">
        <f t="shared" si="0"/>
        <v>7460.7510999994702</v>
      </c>
    </row>
    <row r="41" spans="1:7" x14ac:dyDescent="0.35">
      <c r="A41" s="1" t="s">
        <v>20</v>
      </c>
      <c r="B41" s="1" t="s">
        <v>10</v>
      </c>
      <c r="C41" s="1" t="s">
        <v>11</v>
      </c>
      <c r="D41" s="1" t="s">
        <v>11</v>
      </c>
      <c r="E41" s="1">
        <v>1</v>
      </c>
      <c r="F41" s="1">
        <v>3.9026727000000299</v>
      </c>
      <c r="G41" s="1">
        <f t="shared" si="0"/>
        <v>3902.6727000000296</v>
      </c>
    </row>
    <row r="42" spans="1:7" x14ac:dyDescent="0.35">
      <c r="A42" s="1" t="s">
        <v>19</v>
      </c>
      <c r="B42" s="1" t="s">
        <v>7</v>
      </c>
      <c r="C42" s="1" t="s">
        <v>8</v>
      </c>
      <c r="D42" s="1" t="s">
        <v>8</v>
      </c>
      <c r="E42" s="1">
        <v>1</v>
      </c>
      <c r="F42" s="1">
        <v>0.52823689999968304</v>
      </c>
      <c r="G42" s="1">
        <f t="shared" si="0"/>
        <v>528.23689999968303</v>
      </c>
    </row>
    <row r="43" spans="1:7" x14ac:dyDescent="0.35">
      <c r="A43" s="1" t="s">
        <v>22</v>
      </c>
      <c r="B43" s="1" t="s">
        <v>7</v>
      </c>
      <c r="C43" s="1" t="s">
        <v>8</v>
      </c>
      <c r="D43" s="1" t="s">
        <v>8</v>
      </c>
      <c r="E43" s="1">
        <v>1</v>
      </c>
      <c r="F43" s="1">
        <v>0.49158139999963102</v>
      </c>
      <c r="G43" s="1">
        <f t="shared" si="0"/>
        <v>491.581399999631</v>
      </c>
    </row>
    <row r="44" spans="1:7" x14ac:dyDescent="0.35">
      <c r="A44" s="1" t="s">
        <v>13</v>
      </c>
      <c r="B44" s="1" t="s">
        <v>7</v>
      </c>
      <c r="C44" s="1" t="s">
        <v>8</v>
      </c>
      <c r="D44" s="1" t="s">
        <v>8</v>
      </c>
      <c r="E44" s="1">
        <v>1</v>
      </c>
      <c r="F44" s="1">
        <v>0.39312949999839403</v>
      </c>
      <c r="G44" s="1">
        <f t="shared" si="0"/>
        <v>393.12949999839401</v>
      </c>
    </row>
    <row r="45" spans="1:7" x14ac:dyDescent="0.35">
      <c r="A45" s="1" t="s">
        <v>28</v>
      </c>
      <c r="B45" s="1" t="s">
        <v>10</v>
      </c>
      <c r="C45" s="1" t="s">
        <v>11</v>
      </c>
      <c r="D45" s="1" t="s">
        <v>11</v>
      </c>
      <c r="E45" s="1">
        <v>1</v>
      </c>
      <c r="F45" s="1">
        <v>0.61648139999851903</v>
      </c>
      <c r="G45" s="1">
        <f t="shared" si="0"/>
        <v>616.48139999851901</v>
      </c>
    </row>
    <row r="46" spans="1:7" x14ac:dyDescent="0.35">
      <c r="A46" s="1" t="s">
        <v>15</v>
      </c>
      <c r="B46" s="1" t="s">
        <v>7</v>
      </c>
      <c r="C46" s="1" t="s">
        <v>8</v>
      </c>
      <c r="D46" s="1" t="s">
        <v>8</v>
      </c>
      <c r="E46" s="1">
        <v>1</v>
      </c>
      <c r="F46" s="1">
        <v>0.61143219999939902</v>
      </c>
      <c r="G46" s="1">
        <f t="shared" si="0"/>
        <v>611.43219999939902</v>
      </c>
    </row>
    <row r="47" spans="1:7" x14ac:dyDescent="0.35">
      <c r="A47" s="1" t="s">
        <v>17</v>
      </c>
      <c r="B47" s="1" t="s">
        <v>10</v>
      </c>
      <c r="C47" s="1" t="s">
        <v>11</v>
      </c>
      <c r="D47" s="1" t="s">
        <v>11</v>
      </c>
      <c r="E47" s="1">
        <v>1</v>
      </c>
      <c r="F47" s="1">
        <v>0.95997910000005504</v>
      </c>
      <c r="G47" s="1">
        <f t="shared" si="0"/>
        <v>959.97910000005504</v>
      </c>
    </row>
    <row r="48" spans="1:7" x14ac:dyDescent="0.35">
      <c r="A48" s="1" t="s">
        <v>14</v>
      </c>
      <c r="B48" s="1" t="s">
        <v>10</v>
      </c>
      <c r="C48" s="1" t="s">
        <v>11</v>
      </c>
      <c r="D48" s="1" t="s">
        <v>11</v>
      </c>
      <c r="E48" s="1">
        <v>1</v>
      </c>
      <c r="F48" s="1">
        <v>1.5353491999994699</v>
      </c>
      <c r="G48" s="1">
        <f t="shared" si="0"/>
        <v>1535.3491999994699</v>
      </c>
    </row>
    <row r="49" spans="1:7" x14ac:dyDescent="0.35">
      <c r="A49" s="1" t="s">
        <v>29</v>
      </c>
      <c r="B49" s="1" t="s">
        <v>7</v>
      </c>
      <c r="C49" s="1" t="s">
        <v>8</v>
      </c>
      <c r="D49" s="1" t="s">
        <v>8</v>
      </c>
      <c r="E49" s="1">
        <v>1</v>
      </c>
      <c r="F49" s="1">
        <v>0.58850899999924799</v>
      </c>
      <c r="G49" s="1">
        <f t="shared" si="0"/>
        <v>588.50899999924798</v>
      </c>
    </row>
    <row r="50" spans="1:7" x14ac:dyDescent="0.35">
      <c r="A50" s="1" t="s">
        <v>9</v>
      </c>
      <c r="B50" s="1" t="s">
        <v>10</v>
      </c>
      <c r="C50" s="1" t="s">
        <v>11</v>
      </c>
      <c r="D50" s="1" t="s">
        <v>8</v>
      </c>
      <c r="E50" s="1">
        <v>0</v>
      </c>
      <c r="F50" s="1">
        <v>0.96034089999920902</v>
      </c>
      <c r="G50" s="1">
        <f t="shared" si="0"/>
        <v>960.340899999209</v>
      </c>
    </row>
    <row r="51" spans="1:7" x14ac:dyDescent="0.35">
      <c r="A51" s="1" t="s">
        <v>16</v>
      </c>
      <c r="B51" s="1" t="s">
        <v>10</v>
      </c>
      <c r="C51" s="1" t="s">
        <v>11</v>
      </c>
      <c r="D51" s="1" t="s">
        <v>8</v>
      </c>
      <c r="E51" s="1">
        <v>0</v>
      </c>
      <c r="F51" s="1">
        <v>3.23652570000012</v>
      </c>
      <c r="G51" s="1">
        <f t="shared" si="0"/>
        <v>3236.5257000001197</v>
      </c>
    </row>
    <row r="52" spans="1:7" x14ac:dyDescent="0.35">
      <c r="A52" s="1" t="s">
        <v>21</v>
      </c>
      <c r="B52" s="1" t="s">
        <v>10</v>
      </c>
      <c r="C52" s="1" t="s">
        <v>11</v>
      </c>
      <c r="D52" s="1" t="s">
        <v>11</v>
      </c>
      <c r="E52" s="1">
        <v>1</v>
      </c>
      <c r="F52" s="1">
        <v>0.97401069999977996</v>
      </c>
      <c r="G52" s="1">
        <f t="shared" si="0"/>
        <v>974.01069999977994</v>
      </c>
    </row>
    <row r="53" spans="1:7" x14ac:dyDescent="0.35">
      <c r="A53" s="1" t="s">
        <v>26</v>
      </c>
      <c r="B53" s="1" t="s">
        <v>10</v>
      </c>
      <c r="C53" s="1" t="s">
        <v>11</v>
      </c>
      <c r="D53" s="1" t="s">
        <v>11</v>
      </c>
      <c r="E53" s="1">
        <v>1</v>
      </c>
      <c r="F53" s="1">
        <v>1.8668806999994501</v>
      </c>
      <c r="G53" s="1">
        <f t="shared" si="0"/>
        <v>1866.8806999994501</v>
      </c>
    </row>
    <row r="54" spans="1:7" x14ac:dyDescent="0.35">
      <c r="A54" s="1" t="s">
        <v>20</v>
      </c>
      <c r="B54" s="1" t="s">
        <v>10</v>
      </c>
      <c r="C54" s="1" t="s">
        <v>11</v>
      </c>
      <c r="D54" s="1" t="s">
        <v>11</v>
      </c>
      <c r="E54" s="1">
        <v>1</v>
      </c>
      <c r="F54" s="1">
        <v>0.61381739999887897</v>
      </c>
      <c r="G54" s="1">
        <f t="shared" si="0"/>
        <v>613.81739999887895</v>
      </c>
    </row>
    <row r="55" spans="1:7" x14ac:dyDescent="0.35">
      <c r="A55" s="1" t="s">
        <v>18</v>
      </c>
      <c r="B55" s="1" t="s">
        <v>7</v>
      </c>
      <c r="C55" s="1" t="s">
        <v>8</v>
      </c>
      <c r="D55" s="1" t="s">
        <v>8</v>
      </c>
      <c r="E55" s="1">
        <v>1</v>
      </c>
      <c r="F55" s="1">
        <v>0.59604199999921503</v>
      </c>
      <c r="G55" s="1">
        <f t="shared" si="0"/>
        <v>596.04199999921502</v>
      </c>
    </row>
    <row r="56" spans="1:7" x14ac:dyDescent="0.35">
      <c r="A56" s="1" t="s">
        <v>23</v>
      </c>
      <c r="B56" s="1" t="s">
        <v>10</v>
      </c>
      <c r="C56" s="1" t="s">
        <v>11</v>
      </c>
      <c r="D56" s="1" t="s">
        <v>8</v>
      </c>
      <c r="E56" s="1">
        <v>0</v>
      </c>
      <c r="F56" s="1">
        <v>1.7676138999995601</v>
      </c>
      <c r="G56" s="1">
        <f t="shared" si="0"/>
        <v>1767.6138999995601</v>
      </c>
    </row>
    <row r="57" spans="1:7" x14ac:dyDescent="0.35">
      <c r="A57" s="1" t="s">
        <v>27</v>
      </c>
      <c r="B57" s="1" t="s">
        <v>7</v>
      </c>
      <c r="C57" s="1" t="s">
        <v>8</v>
      </c>
      <c r="D57" s="1" t="s">
        <v>8</v>
      </c>
      <c r="E57" s="1">
        <v>1</v>
      </c>
      <c r="F57" s="1">
        <v>0.63974199999938697</v>
      </c>
      <c r="G57" s="1">
        <f t="shared" si="0"/>
        <v>639.74199999938696</v>
      </c>
    </row>
    <row r="58" spans="1:7" x14ac:dyDescent="0.35">
      <c r="A58" s="1" t="s">
        <v>12</v>
      </c>
      <c r="B58" s="1" t="s">
        <v>7</v>
      </c>
      <c r="C58" s="1" t="s">
        <v>8</v>
      </c>
      <c r="D58" s="1" t="s">
        <v>8</v>
      </c>
      <c r="E58" s="1">
        <v>1</v>
      </c>
      <c r="F58" s="1">
        <v>1.7423412999996799</v>
      </c>
      <c r="G58" s="1">
        <f t="shared" si="0"/>
        <v>1742.3412999996799</v>
      </c>
    </row>
    <row r="59" spans="1:7" x14ac:dyDescent="0.35">
      <c r="A59" s="1" t="s">
        <v>25</v>
      </c>
      <c r="B59" s="1" t="s">
        <v>10</v>
      </c>
      <c r="C59" s="1" t="s">
        <v>11</v>
      </c>
      <c r="D59" s="1" t="s">
        <v>8</v>
      </c>
      <c r="E59" s="1">
        <v>0</v>
      </c>
      <c r="F59" s="1">
        <v>2.0615146999989502</v>
      </c>
      <c r="G59" s="1">
        <f t="shared" si="0"/>
        <v>2061.5146999989502</v>
      </c>
    </row>
    <row r="60" spans="1:7" x14ac:dyDescent="0.35">
      <c r="A60" s="1" t="s">
        <v>24</v>
      </c>
      <c r="B60" s="1" t="s">
        <v>7</v>
      </c>
      <c r="C60" s="1" t="s">
        <v>8</v>
      </c>
      <c r="D60" s="1" t="s">
        <v>8</v>
      </c>
      <c r="E60" s="1">
        <v>1</v>
      </c>
      <c r="F60" s="1">
        <v>3.39456640000025</v>
      </c>
      <c r="G60" s="1">
        <f t="shared" si="0"/>
        <v>3394.5664000002498</v>
      </c>
    </row>
    <row r="61" spans="1:7" x14ac:dyDescent="0.35">
      <c r="A61" s="1" t="s">
        <v>6</v>
      </c>
      <c r="B61" s="1" t="s">
        <v>7</v>
      </c>
      <c r="C61" s="1" t="s">
        <v>8</v>
      </c>
      <c r="D61" s="1" t="s">
        <v>8</v>
      </c>
      <c r="E61" s="1">
        <v>1</v>
      </c>
      <c r="F61" s="1">
        <v>0.729639099999985</v>
      </c>
      <c r="G61" s="1">
        <f t="shared" si="0"/>
        <v>729.63909999998498</v>
      </c>
    </row>
    <row r="62" spans="1:7" x14ac:dyDescent="0.35">
      <c r="A62" s="1" t="s">
        <v>23</v>
      </c>
      <c r="B62" s="1" t="s">
        <v>10</v>
      </c>
      <c r="C62" s="1" t="s">
        <v>11</v>
      </c>
      <c r="D62" s="1" t="s">
        <v>8</v>
      </c>
      <c r="E62" s="1">
        <v>0</v>
      </c>
      <c r="F62" s="1">
        <v>0.432988599999589</v>
      </c>
      <c r="G62" s="1">
        <f t="shared" si="0"/>
        <v>432.98859999958898</v>
      </c>
    </row>
    <row r="63" spans="1:7" x14ac:dyDescent="0.35">
      <c r="A63" s="1" t="s">
        <v>16</v>
      </c>
      <c r="B63" s="1" t="s">
        <v>10</v>
      </c>
      <c r="C63" s="1" t="s">
        <v>11</v>
      </c>
      <c r="D63" s="1" t="s">
        <v>8</v>
      </c>
      <c r="E63" s="1">
        <v>0</v>
      </c>
      <c r="F63" s="1">
        <v>1.33739539999987</v>
      </c>
      <c r="G63" s="1">
        <f t="shared" si="0"/>
        <v>1337.3953999998701</v>
      </c>
    </row>
    <row r="64" spans="1:7" x14ac:dyDescent="0.35">
      <c r="A64" s="1" t="s">
        <v>9</v>
      </c>
      <c r="B64" s="1" t="s">
        <v>10</v>
      </c>
      <c r="C64" s="1" t="s">
        <v>11</v>
      </c>
      <c r="D64" s="1" t="s">
        <v>8</v>
      </c>
      <c r="E64" s="1">
        <v>0</v>
      </c>
      <c r="F64" s="1">
        <v>1.3434555000003401</v>
      </c>
      <c r="G64" s="1">
        <f t="shared" si="0"/>
        <v>1343.4555000003402</v>
      </c>
    </row>
    <row r="65" spans="1:7" x14ac:dyDescent="0.35">
      <c r="A65" s="1" t="s">
        <v>26</v>
      </c>
      <c r="B65" s="1" t="s">
        <v>10</v>
      </c>
      <c r="C65" s="1" t="s">
        <v>11</v>
      </c>
      <c r="D65" s="1" t="s">
        <v>11</v>
      </c>
      <c r="E65" s="1">
        <v>1</v>
      </c>
      <c r="F65" s="1">
        <v>8.8475288000008696</v>
      </c>
      <c r="G65" s="1">
        <f t="shared" si="0"/>
        <v>8847.5288000008695</v>
      </c>
    </row>
    <row r="66" spans="1:7" x14ac:dyDescent="0.35">
      <c r="A66" s="1" t="s">
        <v>24</v>
      </c>
      <c r="B66" s="1" t="s">
        <v>7</v>
      </c>
      <c r="C66" s="1" t="s">
        <v>8</v>
      </c>
      <c r="D66" s="1" t="s">
        <v>8</v>
      </c>
      <c r="E66" s="1">
        <v>1</v>
      </c>
      <c r="F66" s="1">
        <v>0.67510550000042702</v>
      </c>
      <c r="G66" s="1">
        <f t="shared" si="0"/>
        <v>675.10550000042701</v>
      </c>
    </row>
    <row r="67" spans="1:7" x14ac:dyDescent="0.35">
      <c r="A67" s="1" t="s">
        <v>29</v>
      </c>
      <c r="B67" s="1" t="s">
        <v>7</v>
      </c>
      <c r="C67" s="1" t="s">
        <v>8</v>
      </c>
      <c r="D67" s="1" t="s">
        <v>8</v>
      </c>
      <c r="E67" s="1">
        <v>1</v>
      </c>
      <c r="F67" s="1">
        <v>1.29658150000068</v>
      </c>
      <c r="G67" s="1">
        <f t="shared" ref="G67:G130" si="1">F67*1000</f>
        <v>1296.5815000006799</v>
      </c>
    </row>
    <row r="68" spans="1:7" x14ac:dyDescent="0.35">
      <c r="A68" s="1" t="s">
        <v>25</v>
      </c>
      <c r="B68" s="1" t="s">
        <v>10</v>
      </c>
      <c r="C68" s="1" t="s">
        <v>11</v>
      </c>
      <c r="D68" s="1" t="s">
        <v>8</v>
      </c>
      <c r="E68" s="1">
        <v>0</v>
      </c>
      <c r="F68" s="1">
        <v>1.2553850000003799</v>
      </c>
      <c r="G68" s="1">
        <f t="shared" si="1"/>
        <v>1255.3850000003799</v>
      </c>
    </row>
    <row r="69" spans="1:7" x14ac:dyDescent="0.35">
      <c r="A69" s="1" t="s">
        <v>14</v>
      </c>
      <c r="B69" s="1" t="s">
        <v>10</v>
      </c>
      <c r="C69" s="1" t="s">
        <v>11</v>
      </c>
      <c r="D69" s="1" t="s">
        <v>11</v>
      </c>
      <c r="E69" s="1">
        <v>1</v>
      </c>
      <c r="F69" s="1">
        <v>1.6700478000002399</v>
      </c>
      <c r="G69" s="1">
        <f t="shared" si="1"/>
        <v>1670.0478000002399</v>
      </c>
    </row>
    <row r="70" spans="1:7" x14ac:dyDescent="0.35">
      <c r="A70" s="1" t="s">
        <v>27</v>
      </c>
      <c r="B70" s="1" t="s">
        <v>7</v>
      </c>
      <c r="C70" s="1" t="s">
        <v>8</v>
      </c>
      <c r="D70" s="1" t="s">
        <v>8</v>
      </c>
      <c r="E70" s="1">
        <v>1</v>
      </c>
      <c r="F70" s="1">
        <v>2.9832719000005401</v>
      </c>
      <c r="G70" s="1">
        <f t="shared" si="1"/>
        <v>2983.27190000054</v>
      </c>
    </row>
    <row r="71" spans="1:7" x14ac:dyDescent="0.35">
      <c r="A71" s="1" t="s">
        <v>15</v>
      </c>
      <c r="B71" s="1" t="s">
        <v>7</v>
      </c>
      <c r="C71" s="1" t="s">
        <v>8</v>
      </c>
      <c r="D71" s="1" t="s">
        <v>8</v>
      </c>
      <c r="E71" s="1">
        <v>1</v>
      </c>
      <c r="F71" s="1">
        <v>0.55126699999891504</v>
      </c>
      <c r="G71" s="1">
        <f t="shared" si="1"/>
        <v>551.26699999891503</v>
      </c>
    </row>
    <row r="72" spans="1:7" x14ac:dyDescent="0.35">
      <c r="A72" s="1" t="s">
        <v>6</v>
      </c>
      <c r="B72" s="1" t="s">
        <v>7</v>
      </c>
      <c r="C72" s="1" t="s">
        <v>8</v>
      </c>
      <c r="D72" s="1" t="s">
        <v>8</v>
      </c>
      <c r="E72" s="1">
        <v>1</v>
      </c>
      <c r="F72" s="1">
        <v>0.84774990000005301</v>
      </c>
      <c r="G72" s="1">
        <f t="shared" si="1"/>
        <v>847.749900000053</v>
      </c>
    </row>
    <row r="73" spans="1:7" x14ac:dyDescent="0.35">
      <c r="A73" s="1" t="s">
        <v>18</v>
      </c>
      <c r="B73" s="1" t="s">
        <v>7</v>
      </c>
      <c r="C73" s="1" t="s">
        <v>8</v>
      </c>
      <c r="D73" s="1" t="s">
        <v>8</v>
      </c>
      <c r="E73" s="1">
        <v>1</v>
      </c>
      <c r="F73" s="1">
        <v>0.44883769999978501</v>
      </c>
      <c r="G73" s="1">
        <f t="shared" si="1"/>
        <v>448.837699999785</v>
      </c>
    </row>
    <row r="74" spans="1:7" x14ac:dyDescent="0.35">
      <c r="A74" s="1" t="s">
        <v>19</v>
      </c>
      <c r="B74" s="1" t="s">
        <v>7</v>
      </c>
      <c r="C74" s="1" t="s">
        <v>8</v>
      </c>
      <c r="D74" s="1" t="s">
        <v>8</v>
      </c>
      <c r="E74" s="1">
        <v>1</v>
      </c>
      <c r="F74" s="1">
        <v>0.53919390000010003</v>
      </c>
      <c r="G74" s="1">
        <f t="shared" si="1"/>
        <v>539.19390000010003</v>
      </c>
    </row>
    <row r="75" spans="1:7" x14ac:dyDescent="0.35">
      <c r="A75" s="1" t="s">
        <v>21</v>
      </c>
      <c r="B75" s="1" t="s">
        <v>10</v>
      </c>
      <c r="C75" s="1" t="s">
        <v>11</v>
      </c>
      <c r="D75" s="1" t="s">
        <v>11</v>
      </c>
      <c r="E75" s="1">
        <v>1</v>
      </c>
      <c r="F75" s="1">
        <v>0.76746009999987996</v>
      </c>
      <c r="G75" s="1">
        <f t="shared" si="1"/>
        <v>767.46009999987996</v>
      </c>
    </row>
    <row r="76" spans="1:7" x14ac:dyDescent="0.35">
      <c r="A76" s="1" t="s">
        <v>20</v>
      </c>
      <c r="B76" s="1" t="s">
        <v>10</v>
      </c>
      <c r="C76" s="1" t="s">
        <v>11</v>
      </c>
      <c r="D76" s="1" t="s">
        <v>11</v>
      </c>
      <c r="E76" s="1">
        <v>1</v>
      </c>
      <c r="F76" s="1">
        <v>1.0584253999986599</v>
      </c>
      <c r="G76" s="1">
        <f t="shared" si="1"/>
        <v>1058.4253999986599</v>
      </c>
    </row>
    <row r="77" spans="1:7" x14ac:dyDescent="0.35">
      <c r="A77" s="1" t="s">
        <v>17</v>
      </c>
      <c r="B77" s="1" t="s">
        <v>10</v>
      </c>
      <c r="C77" s="1" t="s">
        <v>11</v>
      </c>
      <c r="D77" s="1" t="s">
        <v>11</v>
      </c>
      <c r="E77" s="1">
        <v>1</v>
      </c>
      <c r="F77" s="1">
        <v>0.87829169999895296</v>
      </c>
      <c r="G77" s="1">
        <f t="shared" si="1"/>
        <v>878.29169999895294</v>
      </c>
    </row>
    <row r="78" spans="1:7" x14ac:dyDescent="0.35">
      <c r="A78" s="1" t="s">
        <v>28</v>
      </c>
      <c r="B78" s="1" t="s">
        <v>10</v>
      </c>
      <c r="C78" s="1" t="s">
        <v>11</v>
      </c>
      <c r="D78" s="1" t="s">
        <v>11</v>
      </c>
      <c r="E78" s="1">
        <v>1</v>
      </c>
      <c r="F78" s="1">
        <v>1.23286290000032</v>
      </c>
      <c r="G78" s="1">
        <f t="shared" si="1"/>
        <v>1232.86290000032</v>
      </c>
    </row>
    <row r="79" spans="1:7" x14ac:dyDescent="0.35">
      <c r="A79" s="1" t="s">
        <v>22</v>
      </c>
      <c r="B79" s="1" t="s">
        <v>7</v>
      </c>
      <c r="C79" s="1" t="s">
        <v>8</v>
      </c>
      <c r="D79" s="1" t="s">
        <v>8</v>
      </c>
      <c r="E79" s="1">
        <v>1</v>
      </c>
      <c r="F79" s="1">
        <v>0.68641569999999696</v>
      </c>
      <c r="G79" s="1">
        <f t="shared" si="1"/>
        <v>686.41569999999695</v>
      </c>
    </row>
    <row r="80" spans="1:7" x14ac:dyDescent="0.35">
      <c r="A80" s="1" t="s">
        <v>13</v>
      </c>
      <c r="B80" s="1" t="s">
        <v>7</v>
      </c>
      <c r="C80" s="1" t="s">
        <v>8</v>
      </c>
      <c r="D80" s="1" t="s">
        <v>8</v>
      </c>
      <c r="E80" s="1">
        <v>1</v>
      </c>
      <c r="F80" s="1">
        <v>0.44798669999909102</v>
      </c>
      <c r="G80" s="1">
        <f t="shared" si="1"/>
        <v>447.986699999091</v>
      </c>
    </row>
    <row r="81" spans="1:7" x14ac:dyDescent="0.35">
      <c r="A81" s="1" t="s">
        <v>12</v>
      </c>
      <c r="B81" s="1" t="s">
        <v>7</v>
      </c>
      <c r="C81" s="1" t="s">
        <v>8</v>
      </c>
      <c r="D81" s="1" t="s">
        <v>8</v>
      </c>
      <c r="E81" s="1">
        <v>1</v>
      </c>
      <c r="F81" s="1">
        <v>0.38187369999832299</v>
      </c>
      <c r="G81" s="1">
        <f t="shared" si="1"/>
        <v>381.87369999832299</v>
      </c>
    </row>
    <row r="82" spans="1:7" x14ac:dyDescent="0.35">
      <c r="A82" s="1" t="s">
        <v>12</v>
      </c>
      <c r="B82" s="1" t="s">
        <v>7</v>
      </c>
      <c r="C82" s="1" t="s">
        <v>8</v>
      </c>
      <c r="D82" s="1" t="s">
        <v>8</v>
      </c>
      <c r="E82" s="1">
        <v>1</v>
      </c>
      <c r="F82" s="1">
        <v>0.35813539999980998</v>
      </c>
      <c r="G82" s="1">
        <f t="shared" si="1"/>
        <v>358.13539999980998</v>
      </c>
    </row>
    <row r="83" spans="1:7" x14ac:dyDescent="0.35">
      <c r="A83" s="1" t="s">
        <v>29</v>
      </c>
      <c r="B83" s="1" t="s">
        <v>7</v>
      </c>
      <c r="C83" s="1" t="s">
        <v>8</v>
      </c>
      <c r="D83" s="1" t="s">
        <v>8</v>
      </c>
      <c r="E83" s="1">
        <v>1</v>
      </c>
      <c r="F83" s="1">
        <v>0.28700990000106602</v>
      </c>
      <c r="G83" s="1">
        <f t="shared" si="1"/>
        <v>287.009900001066</v>
      </c>
    </row>
    <row r="84" spans="1:7" x14ac:dyDescent="0.35">
      <c r="A84" s="1" t="s">
        <v>15</v>
      </c>
      <c r="B84" s="1" t="s">
        <v>7</v>
      </c>
      <c r="C84" s="1" t="s">
        <v>8</v>
      </c>
      <c r="D84" s="1" t="s">
        <v>8</v>
      </c>
      <c r="E84" s="1">
        <v>1</v>
      </c>
      <c r="F84" s="1">
        <v>0.359610900000916</v>
      </c>
      <c r="G84" s="1">
        <f t="shared" si="1"/>
        <v>359.61090000091599</v>
      </c>
    </row>
    <row r="85" spans="1:7" x14ac:dyDescent="0.35">
      <c r="A85" s="1" t="s">
        <v>6</v>
      </c>
      <c r="B85" s="1" t="s">
        <v>7</v>
      </c>
      <c r="C85" s="1" t="s">
        <v>8</v>
      </c>
      <c r="D85" s="1" t="s">
        <v>8</v>
      </c>
      <c r="E85" s="1">
        <v>1</v>
      </c>
      <c r="F85" s="1">
        <v>0.35375489999933002</v>
      </c>
      <c r="G85" s="1">
        <f t="shared" si="1"/>
        <v>353.75489999933001</v>
      </c>
    </row>
    <row r="86" spans="1:7" x14ac:dyDescent="0.35">
      <c r="A86" s="1" t="s">
        <v>21</v>
      </c>
      <c r="B86" s="1" t="s">
        <v>10</v>
      </c>
      <c r="C86" s="1" t="s">
        <v>11</v>
      </c>
      <c r="D86" s="1" t="s">
        <v>8</v>
      </c>
      <c r="E86" s="1">
        <v>0</v>
      </c>
      <c r="F86" s="1">
        <v>0.30955929999981802</v>
      </c>
      <c r="G86" s="1">
        <f t="shared" si="1"/>
        <v>309.55929999981799</v>
      </c>
    </row>
    <row r="87" spans="1:7" x14ac:dyDescent="0.35">
      <c r="A87" s="1" t="s">
        <v>20</v>
      </c>
      <c r="B87" s="1" t="s">
        <v>10</v>
      </c>
      <c r="C87" s="1" t="s">
        <v>11</v>
      </c>
      <c r="D87" s="1" t="s">
        <v>8</v>
      </c>
      <c r="E87" s="1">
        <v>0</v>
      </c>
      <c r="F87" s="1">
        <v>0.47143209999921898</v>
      </c>
      <c r="G87" s="1">
        <f t="shared" si="1"/>
        <v>471.43209999921896</v>
      </c>
    </row>
    <row r="88" spans="1:7" x14ac:dyDescent="0.35">
      <c r="A88" s="1" t="s">
        <v>14</v>
      </c>
      <c r="B88" s="1" t="s">
        <v>10</v>
      </c>
      <c r="C88" s="1" t="s">
        <v>11</v>
      </c>
      <c r="D88" s="1" t="s">
        <v>11</v>
      </c>
      <c r="E88" s="1">
        <v>1</v>
      </c>
      <c r="F88" s="1">
        <v>0.62637660000109396</v>
      </c>
      <c r="G88" s="1">
        <f t="shared" si="1"/>
        <v>626.37660000109395</v>
      </c>
    </row>
    <row r="89" spans="1:7" x14ac:dyDescent="0.35">
      <c r="A89" s="1" t="s">
        <v>9</v>
      </c>
      <c r="B89" s="1" t="s">
        <v>10</v>
      </c>
      <c r="C89" s="1" t="s">
        <v>11</v>
      </c>
      <c r="D89" s="1" t="s">
        <v>11</v>
      </c>
      <c r="E89" s="1">
        <v>1</v>
      </c>
      <c r="F89" s="1">
        <v>2.0155161999991802</v>
      </c>
      <c r="G89" s="1">
        <f t="shared" si="1"/>
        <v>2015.5161999991801</v>
      </c>
    </row>
    <row r="90" spans="1:7" x14ac:dyDescent="0.35">
      <c r="A90" s="1" t="s">
        <v>18</v>
      </c>
      <c r="B90" s="1" t="s">
        <v>7</v>
      </c>
      <c r="C90" s="1" t="s">
        <v>8</v>
      </c>
      <c r="D90" s="1" t="s">
        <v>8</v>
      </c>
      <c r="E90" s="1">
        <v>1</v>
      </c>
      <c r="F90" s="1">
        <v>0.51779579999856595</v>
      </c>
      <c r="G90" s="1">
        <f t="shared" si="1"/>
        <v>517.79579999856594</v>
      </c>
    </row>
    <row r="91" spans="1:7" x14ac:dyDescent="0.35">
      <c r="A91" s="1" t="s">
        <v>28</v>
      </c>
      <c r="B91" s="1" t="s">
        <v>10</v>
      </c>
      <c r="C91" s="1" t="s">
        <v>11</v>
      </c>
      <c r="D91" s="1" t="s">
        <v>11</v>
      </c>
      <c r="E91" s="1">
        <v>1</v>
      </c>
      <c r="F91" s="1">
        <v>1.2011575999986199</v>
      </c>
      <c r="G91" s="1">
        <f t="shared" si="1"/>
        <v>1201.1575999986198</v>
      </c>
    </row>
    <row r="92" spans="1:7" x14ac:dyDescent="0.35">
      <c r="A92" s="1" t="s">
        <v>27</v>
      </c>
      <c r="B92" s="1" t="s">
        <v>7</v>
      </c>
      <c r="C92" s="1" t="s">
        <v>8</v>
      </c>
      <c r="D92" s="1" t="s">
        <v>8</v>
      </c>
      <c r="E92" s="1">
        <v>1</v>
      </c>
      <c r="F92" s="1">
        <v>0.57825609999963401</v>
      </c>
      <c r="G92" s="1">
        <f t="shared" si="1"/>
        <v>578.25609999963399</v>
      </c>
    </row>
    <row r="93" spans="1:7" x14ac:dyDescent="0.35">
      <c r="A93" s="1" t="s">
        <v>25</v>
      </c>
      <c r="B93" s="1" t="s">
        <v>10</v>
      </c>
      <c r="C93" s="1" t="s">
        <v>11</v>
      </c>
      <c r="D93" s="1" t="s">
        <v>8</v>
      </c>
      <c r="E93" s="1">
        <v>0</v>
      </c>
      <c r="F93" s="1">
        <v>0.69395179999992196</v>
      </c>
      <c r="G93" s="1">
        <f t="shared" si="1"/>
        <v>693.95179999992195</v>
      </c>
    </row>
    <row r="94" spans="1:7" x14ac:dyDescent="0.35">
      <c r="A94" s="1" t="s">
        <v>16</v>
      </c>
      <c r="B94" s="1" t="s">
        <v>10</v>
      </c>
      <c r="C94" s="1" t="s">
        <v>11</v>
      </c>
      <c r="D94" s="1" t="s">
        <v>8</v>
      </c>
      <c r="E94" s="1">
        <v>0</v>
      </c>
      <c r="F94" s="1">
        <v>0.48518280000098402</v>
      </c>
      <c r="G94" s="1">
        <f t="shared" si="1"/>
        <v>485.182800000984</v>
      </c>
    </row>
    <row r="95" spans="1:7" x14ac:dyDescent="0.35">
      <c r="A95" s="1" t="s">
        <v>23</v>
      </c>
      <c r="B95" s="1" t="s">
        <v>10</v>
      </c>
      <c r="C95" s="1" t="s">
        <v>11</v>
      </c>
      <c r="D95" s="1" t="s">
        <v>8</v>
      </c>
      <c r="E95" s="1">
        <v>0</v>
      </c>
      <c r="F95" s="1">
        <v>0.632551700000476</v>
      </c>
      <c r="G95" s="1">
        <f t="shared" si="1"/>
        <v>632.55170000047599</v>
      </c>
    </row>
    <row r="96" spans="1:7" x14ac:dyDescent="0.35">
      <c r="A96" s="1" t="s">
        <v>13</v>
      </c>
      <c r="B96" s="1" t="s">
        <v>7</v>
      </c>
      <c r="C96" s="1" t="s">
        <v>8</v>
      </c>
      <c r="D96" s="1" t="s">
        <v>8</v>
      </c>
      <c r="E96" s="1">
        <v>1</v>
      </c>
      <c r="F96" s="1">
        <v>0.51740219999919601</v>
      </c>
      <c r="G96" s="1">
        <f t="shared" si="1"/>
        <v>517.402199999196</v>
      </c>
    </row>
    <row r="97" spans="1:7" x14ac:dyDescent="0.35">
      <c r="A97" s="1" t="s">
        <v>24</v>
      </c>
      <c r="B97" s="1" t="s">
        <v>7</v>
      </c>
      <c r="C97" s="1" t="s">
        <v>8</v>
      </c>
      <c r="D97" s="1" t="s">
        <v>8</v>
      </c>
      <c r="E97" s="1">
        <v>1</v>
      </c>
      <c r="F97" s="1">
        <v>0.50689870000132897</v>
      </c>
      <c r="G97" s="1">
        <f t="shared" si="1"/>
        <v>506.89870000132896</v>
      </c>
    </row>
    <row r="98" spans="1:7" x14ac:dyDescent="0.35">
      <c r="A98" s="1" t="s">
        <v>22</v>
      </c>
      <c r="B98" s="1" t="s">
        <v>7</v>
      </c>
      <c r="C98" s="1" t="s">
        <v>8</v>
      </c>
      <c r="D98" s="1" t="s">
        <v>8</v>
      </c>
      <c r="E98" s="1">
        <v>1</v>
      </c>
      <c r="F98" s="1">
        <v>0.49737760000061798</v>
      </c>
      <c r="G98" s="1">
        <f t="shared" si="1"/>
        <v>497.37760000061797</v>
      </c>
    </row>
    <row r="99" spans="1:7" x14ac:dyDescent="0.35">
      <c r="A99" s="1" t="s">
        <v>26</v>
      </c>
      <c r="B99" s="1" t="s">
        <v>10</v>
      </c>
      <c r="C99" s="1" t="s">
        <v>11</v>
      </c>
      <c r="D99" s="1" t="s">
        <v>8</v>
      </c>
      <c r="E99" s="1">
        <v>0</v>
      </c>
      <c r="F99" s="1">
        <v>2.18702609999854</v>
      </c>
      <c r="G99" s="1">
        <f t="shared" si="1"/>
        <v>2187.0260999985398</v>
      </c>
    </row>
    <row r="100" spans="1:7" x14ac:dyDescent="0.35">
      <c r="A100" s="1" t="s">
        <v>17</v>
      </c>
      <c r="B100" s="1" t="s">
        <v>10</v>
      </c>
      <c r="C100" s="1" t="s">
        <v>11</v>
      </c>
      <c r="D100" s="1" t="s">
        <v>11</v>
      </c>
      <c r="E100" s="1">
        <v>1</v>
      </c>
      <c r="F100" s="1">
        <v>1.1530130000010099</v>
      </c>
      <c r="G100" s="1">
        <f t="shared" si="1"/>
        <v>1153.0130000010099</v>
      </c>
    </row>
    <row r="101" spans="1:7" x14ac:dyDescent="0.35">
      <c r="A101" s="1" t="s">
        <v>19</v>
      </c>
      <c r="B101" s="1" t="s">
        <v>7</v>
      </c>
      <c r="C101" s="1" t="s">
        <v>8</v>
      </c>
      <c r="D101" s="1" t="s">
        <v>8</v>
      </c>
      <c r="E101" s="1">
        <v>1</v>
      </c>
      <c r="F101" s="1">
        <v>0.79087619999881997</v>
      </c>
      <c r="G101" s="1">
        <f t="shared" si="1"/>
        <v>790.87619999881997</v>
      </c>
    </row>
    <row r="102" spans="1:7" x14ac:dyDescent="0.35">
      <c r="A102" s="1" t="s">
        <v>22</v>
      </c>
      <c r="B102" s="1" t="s">
        <v>7</v>
      </c>
      <c r="C102" s="1" t="s">
        <v>8</v>
      </c>
      <c r="D102" s="1" t="s">
        <v>8</v>
      </c>
      <c r="E102" s="1">
        <v>1</v>
      </c>
      <c r="F102" s="1">
        <v>0.75956190000033497</v>
      </c>
      <c r="G102" s="1">
        <f t="shared" si="1"/>
        <v>759.56190000033496</v>
      </c>
    </row>
    <row r="103" spans="1:7" x14ac:dyDescent="0.35">
      <c r="A103" s="1" t="s">
        <v>6</v>
      </c>
      <c r="B103" s="1" t="s">
        <v>7</v>
      </c>
      <c r="C103" s="1" t="s">
        <v>8</v>
      </c>
      <c r="D103" s="1" t="s">
        <v>8</v>
      </c>
      <c r="E103" s="1">
        <v>1</v>
      </c>
      <c r="F103" s="1">
        <v>0.58585610000045496</v>
      </c>
      <c r="G103" s="1">
        <f t="shared" si="1"/>
        <v>585.85610000045494</v>
      </c>
    </row>
    <row r="104" spans="1:7" x14ac:dyDescent="0.35">
      <c r="A104" s="1" t="s">
        <v>12</v>
      </c>
      <c r="B104" s="1" t="s">
        <v>7</v>
      </c>
      <c r="C104" s="1" t="s">
        <v>8</v>
      </c>
      <c r="D104" s="1" t="s">
        <v>8</v>
      </c>
      <c r="E104" s="1">
        <v>1</v>
      </c>
      <c r="F104" s="1">
        <v>0.45898870000018999</v>
      </c>
      <c r="G104" s="1">
        <f t="shared" si="1"/>
        <v>458.98870000018997</v>
      </c>
    </row>
    <row r="105" spans="1:7" x14ac:dyDescent="0.35">
      <c r="A105" s="1" t="s">
        <v>20</v>
      </c>
      <c r="B105" s="1" t="s">
        <v>10</v>
      </c>
      <c r="C105" s="1" t="s">
        <v>11</v>
      </c>
      <c r="D105" s="1" t="s">
        <v>11</v>
      </c>
      <c r="E105" s="1">
        <v>1</v>
      </c>
      <c r="F105" s="1">
        <v>1.28483249999953</v>
      </c>
      <c r="G105" s="1">
        <f t="shared" si="1"/>
        <v>1284.83249999953</v>
      </c>
    </row>
    <row r="106" spans="1:7" x14ac:dyDescent="0.35">
      <c r="A106" s="1" t="s">
        <v>18</v>
      </c>
      <c r="B106" s="1" t="s">
        <v>7</v>
      </c>
      <c r="C106" s="1" t="s">
        <v>8</v>
      </c>
      <c r="D106" s="1" t="s">
        <v>8</v>
      </c>
      <c r="E106" s="1">
        <v>1</v>
      </c>
      <c r="F106" s="1">
        <v>0.99508240000068304</v>
      </c>
      <c r="G106" s="1">
        <f t="shared" si="1"/>
        <v>995.08240000068304</v>
      </c>
    </row>
    <row r="107" spans="1:7" x14ac:dyDescent="0.35">
      <c r="A107" s="1" t="s">
        <v>27</v>
      </c>
      <c r="B107" s="1" t="s">
        <v>7</v>
      </c>
      <c r="C107" s="1" t="s">
        <v>8</v>
      </c>
      <c r="D107" s="1" t="s">
        <v>8</v>
      </c>
      <c r="E107" s="1">
        <v>1</v>
      </c>
      <c r="F107" s="1">
        <v>0.56128230000103896</v>
      </c>
      <c r="G107" s="1">
        <f t="shared" si="1"/>
        <v>561.28230000103895</v>
      </c>
    </row>
    <row r="108" spans="1:7" x14ac:dyDescent="0.35">
      <c r="A108" s="1" t="s">
        <v>13</v>
      </c>
      <c r="B108" s="1" t="s">
        <v>7</v>
      </c>
      <c r="C108" s="1" t="s">
        <v>8</v>
      </c>
      <c r="D108" s="1" t="s">
        <v>8</v>
      </c>
      <c r="E108" s="1">
        <v>1</v>
      </c>
      <c r="F108" s="1">
        <v>0.92087270000047206</v>
      </c>
      <c r="G108" s="1">
        <f t="shared" si="1"/>
        <v>920.87270000047204</v>
      </c>
    </row>
    <row r="109" spans="1:7" x14ac:dyDescent="0.35">
      <c r="A109" s="1" t="s">
        <v>21</v>
      </c>
      <c r="B109" s="1" t="s">
        <v>10</v>
      </c>
      <c r="C109" s="1" t="s">
        <v>11</v>
      </c>
      <c r="D109" s="1" t="s">
        <v>11</v>
      </c>
      <c r="E109" s="1">
        <v>1</v>
      </c>
      <c r="F109" s="1">
        <v>1.26158490000125</v>
      </c>
      <c r="G109" s="1">
        <f t="shared" si="1"/>
        <v>1261.5849000012499</v>
      </c>
    </row>
    <row r="110" spans="1:7" x14ac:dyDescent="0.35">
      <c r="A110" s="1" t="s">
        <v>16</v>
      </c>
      <c r="B110" s="1" t="s">
        <v>10</v>
      </c>
      <c r="C110" s="1" t="s">
        <v>11</v>
      </c>
      <c r="D110" s="1" t="s">
        <v>8</v>
      </c>
      <c r="E110" s="1">
        <v>0</v>
      </c>
      <c r="F110" s="1">
        <v>3.7028761000001298</v>
      </c>
      <c r="G110" s="1">
        <f t="shared" si="1"/>
        <v>3702.87610000013</v>
      </c>
    </row>
    <row r="111" spans="1:7" x14ac:dyDescent="0.35">
      <c r="A111" s="1" t="s">
        <v>17</v>
      </c>
      <c r="B111" s="1" t="s">
        <v>10</v>
      </c>
      <c r="C111" s="1" t="s">
        <v>11</v>
      </c>
      <c r="D111" s="1" t="s">
        <v>11</v>
      </c>
      <c r="E111" s="1">
        <v>1</v>
      </c>
      <c r="F111" s="1">
        <v>1.0716069999998501</v>
      </c>
      <c r="G111" s="1">
        <f t="shared" si="1"/>
        <v>1071.6069999998501</v>
      </c>
    </row>
    <row r="112" spans="1:7" x14ac:dyDescent="0.35">
      <c r="A112" s="1" t="s">
        <v>9</v>
      </c>
      <c r="B112" s="1" t="s">
        <v>10</v>
      </c>
      <c r="C112" s="1" t="s">
        <v>11</v>
      </c>
      <c r="D112" s="1" t="s">
        <v>8</v>
      </c>
      <c r="E112" s="1">
        <v>0</v>
      </c>
      <c r="F112" s="1">
        <v>0.86690610000005097</v>
      </c>
      <c r="G112" s="1">
        <f t="shared" si="1"/>
        <v>866.90610000005097</v>
      </c>
    </row>
    <row r="113" spans="1:7" x14ac:dyDescent="0.35">
      <c r="A113" s="1" t="s">
        <v>19</v>
      </c>
      <c r="B113" s="1" t="s">
        <v>7</v>
      </c>
      <c r="C113" s="1" t="s">
        <v>8</v>
      </c>
      <c r="D113" s="1" t="s">
        <v>8</v>
      </c>
      <c r="E113" s="1">
        <v>1</v>
      </c>
      <c r="F113" s="1">
        <v>0.55190599999877998</v>
      </c>
      <c r="G113" s="1">
        <f t="shared" si="1"/>
        <v>551.90599999877998</v>
      </c>
    </row>
    <row r="114" spans="1:7" x14ac:dyDescent="0.35">
      <c r="A114" s="1" t="s">
        <v>25</v>
      </c>
      <c r="B114" s="1" t="s">
        <v>10</v>
      </c>
      <c r="C114" s="1" t="s">
        <v>11</v>
      </c>
      <c r="D114" s="1" t="s">
        <v>8</v>
      </c>
      <c r="E114" s="1">
        <v>0</v>
      </c>
      <c r="F114" s="1">
        <v>1.1257299000008001</v>
      </c>
      <c r="G114" s="1">
        <f t="shared" si="1"/>
        <v>1125.7299000008002</v>
      </c>
    </row>
    <row r="115" spans="1:7" x14ac:dyDescent="0.35">
      <c r="A115" s="1" t="s">
        <v>26</v>
      </c>
      <c r="B115" s="1" t="s">
        <v>10</v>
      </c>
      <c r="C115" s="1" t="s">
        <v>11</v>
      </c>
      <c r="D115" s="1" t="s">
        <v>11</v>
      </c>
      <c r="E115" s="1">
        <v>1</v>
      </c>
      <c r="F115" s="1">
        <v>2.0383514000004599</v>
      </c>
      <c r="G115" s="1">
        <f t="shared" si="1"/>
        <v>2038.35140000046</v>
      </c>
    </row>
    <row r="116" spans="1:7" x14ac:dyDescent="0.35">
      <c r="A116" s="1" t="s">
        <v>24</v>
      </c>
      <c r="B116" s="1" t="s">
        <v>7</v>
      </c>
      <c r="C116" s="1" t="s">
        <v>8</v>
      </c>
      <c r="D116" s="1" t="s">
        <v>8</v>
      </c>
      <c r="E116" s="1">
        <v>1</v>
      </c>
      <c r="F116" s="1">
        <v>0.57403340000018899</v>
      </c>
      <c r="G116" s="1">
        <f t="shared" si="1"/>
        <v>574.03340000018898</v>
      </c>
    </row>
    <row r="117" spans="1:7" x14ac:dyDescent="0.35">
      <c r="A117" s="1" t="s">
        <v>14</v>
      </c>
      <c r="B117" s="1" t="s">
        <v>10</v>
      </c>
      <c r="C117" s="1" t="s">
        <v>11</v>
      </c>
      <c r="D117" s="1" t="s">
        <v>11</v>
      </c>
      <c r="E117" s="1">
        <v>1</v>
      </c>
      <c r="F117" s="1">
        <v>4.9891329000001798</v>
      </c>
      <c r="G117" s="1">
        <f t="shared" si="1"/>
        <v>4989.1329000001797</v>
      </c>
    </row>
    <row r="118" spans="1:7" x14ac:dyDescent="0.35">
      <c r="A118" s="1" t="s">
        <v>23</v>
      </c>
      <c r="B118" s="1" t="s">
        <v>10</v>
      </c>
      <c r="C118" s="1" t="s">
        <v>11</v>
      </c>
      <c r="D118" s="1" t="s">
        <v>8</v>
      </c>
      <c r="E118" s="1">
        <v>0</v>
      </c>
      <c r="F118" s="1">
        <v>2.9588970000004302</v>
      </c>
      <c r="G118" s="1">
        <f t="shared" si="1"/>
        <v>2958.8970000004301</v>
      </c>
    </row>
    <row r="119" spans="1:7" x14ac:dyDescent="0.35">
      <c r="A119" s="1" t="s">
        <v>28</v>
      </c>
      <c r="B119" s="1" t="s">
        <v>10</v>
      </c>
      <c r="C119" s="1" t="s">
        <v>11</v>
      </c>
      <c r="D119" s="1" t="s">
        <v>11</v>
      </c>
      <c r="E119" s="1">
        <v>1</v>
      </c>
      <c r="F119" s="1">
        <v>1.8870979999992401</v>
      </c>
      <c r="G119" s="1">
        <f t="shared" si="1"/>
        <v>1887.0979999992401</v>
      </c>
    </row>
    <row r="120" spans="1:7" x14ac:dyDescent="0.35">
      <c r="A120" s="1" t="s">
        <v>29</v>
      </c>
      <c r="B120" s="1" t="s">
        <v>7</v>
      </c>
      <c r="C120" s="1" t="s">
        <v>8</v>
      </c>
      <c r="D120" s="1" t="s">
        <v>8</v>
      </c>
      <c r="E120" s="1">
        <v>1</v>
      </c>
      <c r="F120" s="1">
        <v>3.8814206999995799</v>
      </c>
      <c r="G120" s="1">
        <f t="shared" si="1"/>
        <v>3881.4206999995799</v>
      </c>
    </row>
    <row r="121" spans="1:7" x14ac:dyDescent="0.35">
      <c r="A121" s="1" t="s">
        <v>15</v>
      </c>
      <c r="B121" s="1" t="s">
        <v>7</v>
      </c>
      <c r="C121" s="1" t="s">
        <v>8</v>
      </c>
      <c r="D121" s="1" t="s">
        <v>8</v>
      </c>
      <c r="E121" s="1">
        <v>1</v>
      </c>
      <c r="F121" s="1">
        <v>0.95197509999888996</v>
      </c>
      <c r="G121" s="1">
        <f t="shared" si="1"/>
        <v>951.97509999888996</v>
      </c>
    </row>
    <row r="122" spans="1:7" x14ac:dyDescent="0.35">
      <c r="A122" s="1" t="s">
        <v>20</v>
      </c>
      <c r="B122" s="1" t="s">
        <v>10</v>
      </c>
      <c r="C122" s="1" t="s">
        <v>11</v>
      </c>
      <c r="D122" s="1" t="s">
        <v>11</v>
      </c>
      <c r="E122" s="1">
        <v>1</v>
      </c>
      <c r="F122" s="1">
        <v>1.04026429999976</v>
      </c>
      <c r="G122" s="1">
        <f t="shared" si="1"/>
        <v>1040.2642999997599</v>
      </c>
    </row>
    <row r="123" spans="1:7" x14ac:dyDescent="0.35">
      <c r="A123" s="1" t="s">
        <v>16</v>
      </c>
      <c r="B123" s="1" t="s">
        <v>10</v>
      </c>
      <c r="C123" s="1" t="s">
        <v>11</v>
      </c>
      <c r="D123" s="1" t="s">
        <v>8</v>
      </c>
      <c r="E123" s="1">
        <v>0</v>
      </c>
      <c r="F123" s="1">
        <v>0.54868290000012998</v>
      </c>
      <c r="G123" s="1">
        <f t="shared" si="1"/>
        <v>548.68290000012996</v>
      </c>
    </row>
    <row r="124" spans="1:7" x14ac:dyDescent="0.35">
      <c r="A124" s="1" t="s">
        <v>25</v>
      </c>
      <c r="B124" s="1" t="s">
        <v>10</v>
      </c>
      <c r="C124" s="1" t="s">
        <v>11</v>
      </c>
      <c r="D124" s="1" t="s">
        <v>8</v>
      </c>
      <c r="E124" s="1">
        <v>0</v>
      </c>
      <c r="F124" s="1">
        <v>0.92472739999902798</v>
      </c>
      <c r="G124" s="1">
        <f t="shared" si="1"/>
        <v>924.72739999902797</v>
      </c>
    </row>
    <row r="125" spans="1:7" x14ac:dyDescent="0.35">
      <c r="A125" s="1" t="s">
        <v>19</v>
      </c>
      <c r="B125" s="1" t="s">
        <v>7</v>
      </c>
      <c r="C125" s="1" t="s">
        <v>8</v>
      </c>
      <c r="D125" s="1" t="s">
        <v>8</v>
      </c>
      <c r="E125" s="1">
        <v>1</v>
      </c>
      <c r="F125" s="1">
        <v>0.84421470000052001</v>
      </c>
      <c r="G125" s="1">
        <f t="shared" si="1"/>
        <v>844.21470000052</v>
      </c>
    </row>
    <row r="126" spans="1:7" x14ac:dyDescent="0.35">
      <c r="A126" s="1" t="s">
        <v>28</v>
      </c>
      <c r="B126" s="1" t="s">
        <v>10</v>
      </c>
      <c r="C126" s="1" t="s">
        <v>11</v>
      </c>
      <c r="D126" s="1" t="s">
        <v>11</v>
      </c>
      <c r="E126" s="1">
        <v>1</v>
      </c>
      <c r="F126" s="1">
        <v>0.86011210000105998</v>
      </c>
      <c r="G126" s="1">
        <f t="shared" si="1"/>
        <v>860.11210000105996</v>
      </c>
    </row>
    <row r="127" spans="1:7" x14ac:dyDescent="0.35">
      <c r="A127" s="1" t="s">
        <v>17</v>
      </c>
      <c r="B127" s="1" t="s">
        <v>10</v>
      </c>
      <c r="C127" s="1" t="s">
        <v>11</v>
      </c>
      <c r="D127" s="1" t="s">
        <v>11</v>
      </c>
      <c r="E127" s="1">
        <v>1</v>
      </c>
      <c r="F127" s="1">
        <v>1.29017860000021</v>
      </c>
      <c r="G127" s="1">
        <f t="shared" si="1"/>
        <v>1290.1786000002101</v>
      </c>
    </row>
    <row r="128" spans="1:7" x14ac:dyDescent="0.35">
      <c r="A128" s="1" t="s">
        <v>29</v>
      </c>
      <c r="B128" s="1" t="s">
        <v>7</v>
      </c>
      <c r="C128" s="1" t="s">
        <v>8</v>
      </c>
      <c r="D128" s="1" t="s">
        <v>8</v>
      </c>
      <c r="E128" s="1">
        <v>1</v>
      </c>
      <c r="F128" s="1">
        <v>0.58601049999924704</v>
      </c>
      <c r="G128" s="1">
        <f t="shared" si="1"/>
        <v>586.01049999924703</v>
      </c>
    </row>
    <row r="129" spans="1:7" x14ac:dyDescent="0.35">
      <c r="A129" s="1" t="s">
        <v>27</v>
      </c>
      <c r="B129" s="1" t="s">
        <v>7</v>
      </c>
      <c r="C129" s="1" t="s">
        <v>8</v>
      </c>
      <c r="D129" s="1" t="s">
        <v>8</v>
      </c>
      <c r="E129" s="1">
        <v>1</v>
      </c>
      <c r="F129" s="1">
        <v>0.93333870000060404</v>
      </c>
      <c r="G129" s="1">
        <f t="shared" si="1"/>
        <v>933.33870000060404</v>
      </c>
    </row>
    <row r="130" spans="1:7" x14ac:dyDescent="0.35">
      <c r="A130" s="1" t="s">
        <v>6</v>
      </c>
      <c r="B130" s="1" t="s">
        <v>7</v>
      </c>
      <c r="C130" s="1" t="s">
        <v>8</v>
      </c>
      <c r="D130" s="1" t="s">
        <v>8</v>
      </c>
      <c r="E130" s="1">
        <v>1</v>
      </c>
      <c r="F130" s="1">
        <v>0.72563850000005903</v>
      </c>
      <c r="G130" s="1">
        <f t="shared" si="1"/>
        <v>725.63850000005903</v>
      </c>
    </row>
    <row r="131" spans="1:7" x14ac:dyDescent="0.35">
      <c r="A131" s="1" t="s">
        <v>13</v>
      </c>
      <c r="B131" s="1" t="s">
        <v>7</v>
      </c>
      <c r="C131" s="1" t="s">
        <v>8</v>
      </c>
      <c r="D131" s="1" t="s">
        <v>8</v>
      </c>
      <c r="E131" s="1">
        <v>1</v>
      </c>
      <c r="F131" s="1">
        <v>0.41094990000055898</v>
      </c>
      <c r="G131" s="1">
        <f t="shared" ref="G131:G194" si="2">F131*1000</f>
        <v>410.94990000055896</v>
      </c>
    </row>
    <row r="132" spans="1:7" x14ac:dyDescent="0.35">
      <c r="A132" s="1" t="s">
        <v>26</v>
      </c>
      <c r="B132" s="1" t="s">
        <v>10</v>
      </c>
      <c r="C132" s="1" t="s">
        <v>11</v>
      </c>
      <c r="D132" s="1" t="s">
        <v>11</v>
      </c>
      <c r="E132" s="1">
        <v>1</v>
      </c>
      <c r="F132" s="1">
        <v>2.02544940000007</v>
      </c>
      <c r="G132" s="1">
        <f t="shared" si="2"/>
        <v>2025.44940000007</v>
      </c>
    </row>
    <row r="133" spans="1:7" x14ac:dyDescent="0.35">
      <c r="A133" s="1" t="s">
        <v>23</v>
      </c>
      <c r="B133" s="1" t="s">
        <v>10</v>
      </c>
      <c r="C133" s="1" t="s">
        <v>11</v>
      </c>
      <c r="D133" s="1" t="s">
        <v>8</v>
      </c>
      <c r="E133" s="1">
        <v>0</v>
      </c>
      <c r="F133" s="1">
        <v>1.23903999999856</v>
      </c>
      <c r="G133" s="1">
        <f t="shared" si="2"/>
        <v>1239.03999999856</v>
      </c>
    </row>
    <row r="134" spans="1:7" x14ac:dyDescent="0.35">
      <c r="A134" s="1" t="s">
        <v>12</v>
      </c>
      <c r="B134" s="1" t="s">
        <v>7</v>
      </c>
      <c r="C134" s="1" t="s">
        <v>8</v>
      </c>
      <c r="D134" s="1" t="s">
        <v>8</v>
      </c>
      <c r="E134" s="1">
        <v>1</v>
      </c>
      <c r="F134" s="1">
        <v>4.2601500000000598</v>
      </c>
      <c r="G134" s="1">
        <f t="shared" si="2"/>
        <v>4260.1500000000597</v>
      </c>
    </row>
    <row r="135" spans="1:7" x14ac:dyDescent="0.35">
      <c r="A135" s="1" t="s">
        <v>15</v>
      </c>
      <c r="B135" s="1" t="s">
        <v>7</v>
      </c>
      <c r="C135" s="1" t="s">
        <v>8</v>
      </c>
      <c r="D135" s="1" t="s">
        <v>8</v>
      </c>
      <c r="E135" s="1">
        <v>1</v>
      </c>
      <c r="F135" s="1">
        <v>0.63219639999988397</v>
      </c>
      <c r="G135" s="1">
        <f t="shared" si="2"/>
        <v>632.19639999988397</v>
      </c>
    </row>
    <row r="136" spans="1:7" x14ac:dyDescent="0.35">
      <c r="A136" s="1" t="s">
        <v>21</v>
      </c>
      <c r="B136" s="1" t="s">
        <v>10</v>
      </c>
      <c r="C136" s="1" t="s">
        <v>11</v>
      </c>
      <c r="D136" s="1" t="s">
        <v>11</v>
      </c>
      <c r="E136" s="1">
        <v>1</v>
      </c>
      <c r="F136" s="1">
        <v>0.71660929999961798</v>
      </c>
      <c r="G136" s="1">
        <f t="shared" si="2"/>
        <v>716.60929999961797</v>
      </c>
    </row>
    <row r="137" spans="1:7" x14ac:dyDescent="0.35">
      <c r="A137" s="1" t="s">
        <v>24</v>
      </c>
      <c r="B137" s="1" t="s">
        <v>7</v>
      </c>
      <c r="C137" s="1" t="s">
        <v>8</v>
      </c>
      <c r="D137" s="1" t="s">
        <v>8</v>
      </c>
      <c r="E137" s="1">
        <v>1</v>
      </c>
      <c r="F137" s="1">
        <v>0.86958649999905901</v>
      </c>
      <c r="G137" s="1">
        <f t="shared" si="2"/>
        <v>869.58649999905901</v>
      </c>
    </row>
    <row r="138" spans="1:7" x14ac:dyDescent="0.35">
      <c r="A138" s="1" t="s">
        <v>18</v>
      </c>
      <c r="B138" s="1" t="s">
        <v>7</v>
      </c>
      <c r="C138" s="1" t="s">
        <v>8</v>
      </c>
      <c r="D138" s="1" t="s">
        <v>8</v>
      </c>
      <c r="E138" s="1">
        <v>1</v>
      </c>
      <c r="F138" s="1">
        <v>0.57254480000119601</v>
      </c>
      <c r="G138" s="1">
        <f t="shared" si="2"/>
        <v>572.54480000119599</v>
      </c>
    </row>
    <row r="139" spans="1:7" x14ac:dyDescent="0.35">
      <c r="A139" s="1" t="s">
        <v>22</v>
      </c>
      <c r="B139" s="1" t="s">
        <v>7</v>
      </c>
      <c r="C139" s="1" t="s">
        <v>8</v>
      </c>
      <c r="D139" s="1" t="s">
        <v>8</v>
      </c>
      <c r="E139" s="1">
        <v>1</v>
      </c>
      <c r="F139" s="1">
        <v>0.41854649999913801</v>
      </c>
      <c r="G139" s="1">
        <f t="shared" si="2"/>
        <v>418.54649999913801</v>
      </c>
    </row>
    <row r="140" spans="1:7" x14ac:dyDescent="0.35">
      <c r="A140" s="1" t="s">
        <v>9</v>
      </c>
      <c r="B140" s="1" t="s">
        <v>10</v>
      </c>
      <c r="C140" s="1" t="s">
        <v>11</v>
      </c>
      <c r="D140" s="1" t="s">
        <v>8</v>
      </c>
      <c r="E140" s="1">
        <v>0</v>
      </c>
      <c r="F140" s="1">
        <v>0.35407110000051001</v>
      </c>
      <c r="G140" s="1">
        <f t="shared" si="2"/>
        <v>354.07110000051</v>
      </c>
    </row>
    <row r="141" spans="1:7" x14ac:dyDescent="0.35">
      <c r="A141" s="1" t="s">
        <v>14</v>
      </c>
      <c r="B141" s="1" t="s">
        <v>10</v>
      </c>
      <c r="C141" s="1" t="s">
        <v>11</v>
      </c>
      <c r="D141" s="1" t="s">
        <v>11</v>
      </c>
      <c r="E141" s="1">
        <v>1</v>
      </c>
      <c r="F141" s="1">
        <v>0.82927580000068701</v>
      </c>
      <c r="G141" s="1">
        <f t="shared" si="2"/>
        <v>829.27580000068701</v>
      </c>
    </row>
    <row r="142" spans="1:7" x14ac:dyDescent="0.35">
      <c r="A142" s="1" t="s">
        <v>16</v>
      </c>
      <c r="B142" s="1" t="s">
        <v>10</v>
      </c>
      <c r="C142" s="1" t="s">
        <v>11</v>
      </c>
      <c r="D142" s="1" t="s">
        <v>8</v>
      </c>
      <c r="E142" s="1">
        <v>0</v>
      </c>
      <c r="F142" s="1">
        <v>1.9537653000006601</v>
      </c>
      <c r="G142" s="1">
        <f t="shared" si="2"/>
        <v>1953.7653000006601</v>
      </c>
    </row>
    <row r="143" spans="1:7" x14ac:dyDescent="0.35">
      <c r="A143" s="1" t="s">
        <v>23</v>
      </c>
      <c r="B143" s="1" t="s">
        <v>10</v>
      </c>
      <c r="C143" s="1" t="s">
        <v>11</v>
      </c>
      <c r="D143" s="1" t="s">
        <v>8</v>
      </c>
      <c r="E143" s="1">
        <v>0</v>
      </c>
      <c r="F143" s="1">
        <v>1.1182279999993601</v>
      </c>
      <c r="G143" s="1">
        <f t="shared" si="2"/>
        <v>1118.22799999936</v>
      </c>
    </row>
    <row r="144" spans="1:7" x14ac:dyDescent="0.35">
      <c r="A144" s="1" t="s">
        <v>20</v>
      </c>
      <c r="B144" s="1" t="s">
        <v>10</v>
      </c>
      <c r="C144" s="1" t="s">
        <v>11</v>
      </c>
      <c r="D144" s="1" t="s">
        <v>11</v>
      </c>
      <c r="E144" s="1">
        <v>1</v>
      </c>
      <c r="F144" s="1">
        <v>1.3544853999992399</v>
      </c>
      <c r="G144" s="1">
        <f t="shared" si="2"/>
        <v>1354.4853999992399</v>
      </c>
    </row>
    <row r="145" spans="1:7" x14ac:dyDescent="0.35">
      <c r="A145" s="1" t="s">
        <v>21</v>
      </c>
      <c r="B145" s="1" t="s">
        <v>10</v>
      </c>
      <c r="C145" s="1" t="s">
        <v>11</v>
      </c>
      <c r="D145" s="1" t="s">
        <v>11</v>
      </c>
      <c r="E145" s="1">
        <v>1</v>
      </c>
      <c r="F145" s="1">
        <v>1.92404530000021</v>
      </c>
      <c r="G145" s="1">
        <f t="shared" si="2"/>
        <v>1924.0453000002101</v>
      </c>
    </row>
    <row r="146" spans="1:7" x14ac:dyDescent="0.35">
      <c r="A146" s="1" t="s">
        <v>12</v>
      </c>
      <c r="B146" s="1" t="s">
        <v>7</v>
      </c>
      <c r="C146" s="1" t="s">
        <v>8</v>
      </c>
      <c r="D146" s="1" t="s">
        <v>8</v>
      </c>
      <c r="E146" s="1">
        <v>1</v>
      </c>
      <c r="F146" s="1">
        <v>1.2388264000000999</v>
      </c>
      <c r="G146" s="1">
        <f t="shared" si="2"/>
        <v>1238.8264000001</v>
      </c>
    </row>
    <row r="147" spans="1:7" x14ac:dyDescent="0.35">
      <c r="A147" s="1" t="s">
        <v>24</v>
      </c>
      <c r="B147" s="1" t="s">
        <v>7</v>
      </c>
      <c r="C147" s="1" t="s">
        <v>8</v>
      </c>
      <c r="D147" s="1" t="s">
        <v>8</v>
      </c>
      <c r="E147" s="1">
        <v>1</v>
      </c>
      <c r="F147" s="1">
        <v>0.434841999998752</v>
      </c>
      <c r="G147" s="1">
        <f t="shared" si="2"/>
        <v>434.84199999875199</v>
      </c>
    </row>
    <row r="148" spans="1:7" x14ac:dyDescent="0.35">
      <c r="A148" s="1" t="s">
        <v>25</v>
      </c>
      <c r="B148" s="1" t="s">
        <v>10</v>
      </c>
      <c r="C148" s="1" t="s">
        <v>11</v>
      </c>
      <c r="D148" s="1" t="s">
        <v>8</v>
      </c>
      <c r="E148" s="1">
        <v>0</v>
      </c>
      <c r="F148" s="1">
        <v>0.40658430000075801</v>
      </c>
      <c r="G148" s="1">
        <f t="shared" si="2"/>
        <v>406.58430000075799</v>
      </c>
    </row>
    <row r="149" spans="1:7" x14ac:dyDescent="0.35">
      <c r="A149" s="1" t="s">
        <v>9</v>
      </c>
      <c r="B149" s="1" t="s">
        <v>10</v>
      </c>
      <c r="C149" s="1" t="s">
        <v>11</v>
      </c>
      <c r="D149" s="1" t="s">
        <v>8</v>
      </c>
      <c r="E149" s="1">
        <v>0</v>
      </c>
      <c r="F149" s="1">
        <v>0.81191340000077605</v>
      </c>
      <c r="G149" s="1">
        <f t="shared" si="2"/>
        <v>811.91340000077605</v>
      </c>
    </row>
    <row r="150" spans="1:7" x14ac:dyDescent="0.35">
      <c r="A150" s="1" t="s">
        <v>26</v>
      </c>
      <c r="B150" s="1" t="s">
        <v>10</v>
      </c>
      <c r="C150" s="1" t="s">
        <v>11</v>
      </c>
      <c r="D150" s="1" t="s">
        <v>11</v>
      </c>
      <c r="E150" s="1">
        <v>1</v>
      </c>
      <c r="F150" s="1">
        <v>0.64854209999975798</v>
      </c>
      <c r="G150" s="1">
        <f t="shared" si="2"/>
        <v>648.54209999975797</v>
      </c>
    </row>
    <row r="151" spans="1:7" x14ac:dyDescent="0.35">
      <c r="A151" s="1" t="s">
        <v>15</v>
      </c>
      <c r="B151" s="1" t="s">
        <v>7</v>
      </c>
      <c r="C151" s="1" t="s">
        <v>8</v>
      </c>
      <c r="D151" s="1" t="s">
        <v>8</v>
      </c>
      <c r="E151" s="1">
        <v>1</v>
      </c>
      <c r="F151" s="1">
        <v>0.79473160000088605</v>
      </c>
      <c r="G151" s="1">
        <f t="shared" si="2"/>
        <v>794.73160000088603</v>
      </c>
    </row>
    <row r="152" spans="1:7" x14ac:dyDescent="0.35">
      <c r="A152" s="1" t="s">
        <v>18</v>
      </c>
      <c r="B152" s="1" t="s">
        <v>7</v>
      </c>
      <c r="C152" s="1" t="s">
        <v>8</v>
      </c>
      <c r="D152" s="1" t="s">
        <v>8</v>
      </c>
      <c r="E152" s="1">
        <v>1</v>
      </c>
      <c r="F152" s="1">
        <v>0.489980299998933</v>
      </c>
      <c r="G152" s="1">
        <f t="shared" si="2"/>
        <v>489.98029999893299</v>
      </c>
    </row>
    <row r="153" spans="1:7" x14ac:dyDescent="0.35">
      <c r="A153" s="1" t="s">
        <v>22</v>
      </c>
      <c r="B153" s="1" t="s">
        <v>7</v>
      </c>
      <c r="C153" s="1" t="s">
        <v>8</v>
      </c>
      <c r="D153" s="1" t="s">
        <v>8</v>
      </c>
      <c r="E153" s="1">
        <v>1</v>
      </c>
      <c r="F153" s="1">
        <v>0.366821900001014</v>
      </c>
      <c r="G153" s="1">
        <f t="shared" si="2"/>
        <v>366.821900001014</v>
      </c>
    </row>
    <row r="154" spans="1:7" x14ac:dyDescent="0.35">
      <c r="A154" s="1" t="s">
        <v>19</v>
      </c>
      <c r="B154" s="1" t="s">
        <v>7</v>
      </c>
      <c r="C154" s="1" t="s">
        <v>8</v>
      </c>
      <c r="D154" s="1" t="s">
        <v>8</v>
      </c>
      <c r="E154" s="1">
        <v>1</v>
      </c>
      <c r="F154" s="1">
        <v>0.32464609999988098</v>
      </c>
      <c r="G154" s="1">
        <f t="shared" si="2"/>
        <v>324.64609999988096</v>
      </c>
    </row>
    <row r="155" spans="1:7" x14ac:dyDescent="0.35">
      <c r="A155" s="1" t="s">
        <v>27</v>
      </c>
      <c r="B155" s="1" t="s">
        <v>7</v>
      </c>
      <c r="C155" s="1" t="s">
        <v>8</v>
      </c>
      <c r="D155" s="1" t="s">
        <v>8</v>
      </c>
      <c r="E155" s="1">
        <v>1</v>
      </c>
      <c r="F155" s="1">
        <v>0.51052210000125298</v>
      </c>
      <c r="G155" s="1">
        <f t="shared" si="2"/>
        <v>510.52210000125297</v>
      </c>
    </row>
    <row r="156" spans="1:7" x14ac:dyDescent="0.35">
      <c r="A156" s="1" t="s">
        <v>17</v>
      </c>
      <c r="B156" s="1" t="s">
        <v>10</v>
      </c>
      <c r="C156" s="1" t="s">
        <v>11</v>
      </c>
      <c r="D156" s="1" t="s">
        <v>11</v>
      </c>
      <c r="E156" s="1">
        <v>1</v>
      </c>
      <c r="F156" s="1">
        <v>1.0493088000002899</v>
      </c>
      <c r="G156" s="1">
        <f t="shared" si="2"/>
        <v>1049.3088000002899</v>
      </c>
    </row>
    <row r="157" spans="1:7" x14ac:dyDescent="0.35">
      <c r="A157" s="1" t="s">
        <v>13</v>
      </c>
      <c r="B157" s="1" t="s">
        <v>7</v>
      </c>
      <c r="C157" s="1" t="s">
        <v>8</v>
      </c>
      <c r="D157" s="1" t="s">
        <v>8</v>
      </c>
      <c r="E157" s="1">
        <v>1</v>
      </c>
      <c r="F157" s="1">
        <v>0.74136129999897005</v>
      </c>
      <c r="G157" s="1">
        <f t="shared" si="2"/>
        <v>741.36129999897003</v>
      </c>
    </row>
    <row r="158" spans="1:7" x14ac:dyDescent="0.35">
      <c r="A158" s="1" t="s">
        <v>6</v>
      </c>
      <c r="B158" s="1" t="s">
        <v>7</v>
      </c>
      <c r="C158" s="1" t="s">
        <v>8</v>
      </c>
      <c r="D158" s="1" t="s">
        <v>8</v>
      </c>
      <c r="E158" s="1">
        <v>1</v>
      </c>
      <c r="F158" s="1">
        <v>0.46889030000056597</v>
      </c>
      <c r="G158" s="1">
        <f t="shared" si="2"/>
        <v>468.89030000056596</v>
      </c>
    </row>
    <row r="159" spans="1:7" x14ac:dyDescent="0.35">
      <c r="A159" s="1" t="s">
        <v>28</v>
      </c>
      <c r="B159" s="1" t="s">
        <v>10</v>
      </c>
      <c r="C159" s="1" t="s">
        <v>11</v>
      </c>
      <c r="D159" s="1" t="s">
        <v>8</v>
      </c>
      <c r="E159" s="1">
        <v>0</v>
      </c>
      <c r="F159" s="1">
        <v>0.43218610000076202</v>
      </c>
      <c r="G159" s="1">
        <f t="shared" si="2"/>
        <v>432.186100000762</v>
      </c>
    </row>
    <row r="160" spans="1:7" x14ac:dyDescent="0.35">
      <c r="A160" s="1" t="s">
        <v>29</v>
      </c>
      <c r="B160" s="1" t="s">
        <v>7</v>
      </c>
      <c r="C160" s="1" t="s">
        <v>8</v>
      </c>
      <c r="D160" s="1" t="s">
        <v>8</v>
      </c>
      <c r="E160" s="1">
        <v>1</v>
      </c>
      <c r="F160" s="1">
        <v>1.15753829999994</v>
      </c>
      <c r="G160" s="1">
        <f t="shared" si="2"/>
        <v>1157.5382999999399</v>
      </c>
    </row>
    <row r="161" spans="1:7" x14ac:dyDescent="0.35">
      <c r="A161" s="1" t="s">
        <v>14</v>
      </c>
      <c r="B161" s="1" t="s">
        <v>10</v>
      </c>
      <c r="C161" s="1" t="s">
        <v>11</v>
      </c>
      <c r="D161" s="1" t="s">
        <v>11</v>
      </c>
      <c r="E161" s="1">
        <v>1</v>
      </c>
      <c r="F161" s="1">
        <v>0.85466019999876097</v>
      </c>
      <c r="G161" s="1">
        <f t="shared" si="2"/>
        <v>854.66019999876096</v>
      </c>
    </row>
    <row r="162" spans="1:7" x14ac:dyDescent="0.35">
      <c r="A162" s="1" t="s">
        <v>17</v>
      </c>
      <c r="B162" s="1" t="s">
        <v>10</v>
      </c>
      <c r="C162" s="1" t="s">
        <v>11</v>
      </c>
      <c r="D162" s="1" t="s">
        <v>11</v>
      </c>
      <c r="E162" s="1">
        <v>1</v>
      </c>
      <c r="F162" s="1">
        <v>1.1466473999989799</v>
      </c>
      <c r="G162" s="1">
        <f t="shared" si="2"/>
        <v>1146.6473999989798</v>
      </c>
    </row>
    <row r="163" spans="1:7" x14ac:dyDescent="0.35">
      <c r="A163" s="1" t="s">
        <v>25</v>
      </c>
      <c r="B163" s="1" t="s">
        <v>10</v>
      </c>
      <c r="C163" s="1" t="s">
        <v>11</v>
      </c>
      <c r="D163" s="1" t="s">
        <v>8</v>
      </c>
      <c r="E163" s="1">
        <v>0</v>
      </c>
      <c r="F163" s="1">
        <v>0.51972320000095296</v>
      </c>
      <c r="G163" s="1">
        <f t="shared" si="2"/>
        <v>519.72320000095294</v>
      </c>
    </row>
    <row r="164" spans="1:7" x14ac:dyDescent="0.35">
      <c r="A164" s="1" t="s">
        <v>16</v>
      </c>
      <c r="B164" s="1" t="s">
        <v>10</v>
      </c>
      <c r="C164" s="1" t="s">
        <v>11</v>
      </c>
      <c r="D164" s="1" t="s">
        <v>8</v>
      </c>
      <c r="E164" s="1">
        <v>0</v>
      </c>
      <c r="F164" s="1">
        <v>0.52226770000015599</v>
      </c>
      <c r="G164" s="1">
        <f t="shared" si="2"/>
        <v>522.26770000015597</v>
      </c>
    </row>
    <row r="165" spans="1:7" x14ac:dyDescent="0.35">
      <c r="A165" s="1" t="s">
        <v>26</v>
      </c>
      <c r="B165" s="1" t="s">
        <v>10</v>
      </c>
      <c r="C165" s="1" t="s">
        <v>11</v>
      </c>
      <c r="D165" s="1" t="s">
        <v>11</v>
      </c>
      <c r="E165" s="1">
        <v>1</v>
      </c>
      <c r="F165" s="1">
        <v>1.1254059000002501</v>
      </c>
      <c r="G165" s="1">
        <f t="shared" si="2"/>
        <v>1125.4059000002501</v>
      </c>
    </row>
    <row r="166" spans="1:7" x14ac:dyDescent="0.35">
      <c r="A166" s="1" t="s">
        <v>6</v>
      </c>
      <c r="B166" s="1" t="s">
        <v>7</v>
      </c>
      <c r="C166" s="1" t="s">
        <v>8</v>
      </c>
      <c r="D166" s="1" t="s">
        <v>8</v>
      </c>
      <c r="E166" s="1">
        <v>1</v>
      </c>
      <c r="F166" s="1">
        <v>0.52324459999908801</v>
      </c>
      <c r="G166" s="1">
        <f t="shared" si="2"/>
        <v>523.244599999088</v>
      </c>
    </row>
    <row r="167" spans="1:7" x14ac:dyDescent="0.35">
      <c r="A167" s="1" t="s">
        <v>12</v>
      </c>
      <c r="B167" s="1" t="s">
        <v>7</v>
      </c>
      <c r="C167" s="1" t="s">
        <v>8</v>
      </c>
      <c r="D167" s="1" t="s">
        <v>8</v>
      </c>
      <c r="E167" s="1">
        <v>1</v>
      </c>
      <c r="F167" s="1">
        <v>1.1656211000008601</v>
      </c>
      <c r="G167" s="1">
        <f t="shared" si="2"/>
        <v>1165.62110000086</v>
      </c>
    </row>
    <row r="168" spans="1:7" x14ac:dyDescent="0.35">
      <c r="A168" s="1" t="s">
        <v>23</v>
      </c>
      <c r="B168" s="1" t="s">
        <v>10</v>
      </c>
      <c r="C168" s="1" t="s">
        <v>11</v>
      </c>
      <c r="D168" s="1" t="s">
        <v>8</v>
      </c>
      <c r="E168" s="1">
        <v>0</v>
      </c>
      <c r="F168" s="1">
        <v>1.3411734000001101</v>
      </c>
      <c r="G168" s="1">
        <f t="shared" si="2"/>
        <v>1341.1734000001102</v>
      </c>
    </row>
    <row r="169" spans="1:7" x14ac:dyDescent="0.35">
      <c r="A169" s="1" t="s">
        <v>14</v>
      </c>
      <c r="B169" s="1" t="s">
        <v>10</v>
      </c>
      <c r="C169" s="1" t="s">
        <v>11</v>
      </c>
      <c r="D169" s="1" t="s">
        <v>11</v>
      </c>
      <c r="E169" s="1">
        <v>1</v>
      </c>
      <c r="F169" s="1">
        <v>1.5581020999998101</v>
      </c>
      <c r="G169" s="1">
        <f t="shared" si="2"/>
        <v>1558.10209999981</v>
      </c>
    </row>
    <row r="170" spans="1:7" x14ac:dyDescent="0.35">
      <c r="A170" s="1" t="s">
        <v>9</v>
      </c>
      <c r="B170" s="1" t="s">
        <v>10</v>
      </c>
      <c r="C170" s="1" t="s">
        <v>11</v>
      </c>
      <c r="D170" s="1" t="s">
        <v>8</v>
      </c>
      <c r="E170" s="1">
        <v>0</v>
      </c>
      <c r="F170" s="1">
        <v>0.41979880000144398</v>
      </c>
      <c r="G170" s="1">
        <f t="shared" si="2"/>
        <v>419.79880000144396</v>
      </c>
    </row>
    <row r="171" spans="1:7" x14ac:dyDescent="0.35">
      <c r="A171" s="1" t="s">
        <v>18</v>
      </c>
      <c r="B171" s="1" t="s">
        <v>7</v>
      </c>
      <c r="C171" s="1" t="s">
        <v>8</v>
      </c>
      <c r="D171" s="1" t="s">
        <v>8</v>
      </c>
      <c r="E171" s="1">
        <v>1</v>
      </c>
      <c r="F171" s="1">
        <v>0.80843679999998097</v>
      </c>
      <c r="G171" s="1">
        <f t="shared" si="2"/>
        <v>808.43679999998096</v>
      </c>
    </row>
    <row r="172" spans="1:7" x14ac:dyDescent="0.35">
      <c r="A172" s="1" t="s">
        <v>21</v>
      </c>
      <c r="B172" s="1" t="s">
        <v>10</v>
      </c>
      <c r="C172" s="1" t="s">
        <v>11</v>
      </c>
      <c r="D172" s="1" t="s">
        <v>11</v>
      </c>
      <c r="E172" s="1">
        <v>1</v>
      </c>
      <c r="F172" s="1">
        <v>1.60325910000028</v>
      </c>
      <c r="G172" s="1">
        <f t="shared" si="2"/>
        <v>1603.2591000002801</v>
      </c>
    </row>
    <row r="173" spans="1:7" x14ac:dyDescent="0.35">
      <c r="A173" s="1" t="s">
        <v>28</v>
      </c>
      <c r="B173" s="1" t="s">
        <v>10</v>
      </c>
      <c r="C173" s="1" t="s">
        <v>11</v>
      </c>
      <c r="D173" s="1" t="s">
        <v>8</v>
      </c>
      <c r="E173" s="1">
        <v>0</v>
      </c>
      <c r="F173" s="1">
        <v>0.55612490000021297</v>
      </c>
      <c r="G173" s="1">
        <f t="shared" si="2"/>
        <v>556.12490000021296</v>
      </c>
    </row>
    <row r="174" spans="1:7" x14ac:dyDescent="0.35">
      <c r="A174" s="1" t="s">
        <v>19</v>
      </c>
      <c r="B174" s="1" t="s">
        <v>7</v>
      </c>
      <c r="C174" s="1" t="s">
        <v>8</v>
      </c>
      <c r="D174" s="1" t="s">
        <v>8</v>
      </c>
      <c r="E174" s="1">
        <v>1</v>
      </c>
      <c r="F174" s="1">
        <v>1.19220700000005</v>
      </c>
      <c r="G174" s="1">
        <f t="shared" si="2"/>
        <v>1192.2070000000499</v>
      </c>
    </row>
    <row r="175" spans="1:7" x14ac:dyDescent="0.35">
      <c r="A175" s="1" t="s">
        <v>27</v>
      </c>
      <c r="B175" s="1" t="s">
        <v>7</v>
      </c>
      <c r="C175" s="1" t="s">
        <v>8</v>
      </c>
      <c r="D175" s="1" t="s">
        <v>8</v>
      </c>
      <c r="E175" s="1">
        <v>1</v>
      </c>
      <c r="F175" s="1">
        <v>0.56257720000030498</v>
      </c>
      <c r="G175" s="1">
        <f t="shared" si="2"/>
        <v>562.57720000030497</v>
      </c>
    </row>
    <row r="176" spans="1:7" x14ac:dyDescent="0.35">
      <c r="A176" s="1" t="s">
        <v>15</v>
      </c>
      <c r="B176" s="1" t="s">
        <v>7</v>
      </c>
      <c r="C176" s="1" t="s">
        <v>8</v>
      </c>
      <c r="D176" s="1" t="s">
        <v>8</v>
      </c>
      <c r="E176" s="1">
        <v>1</v>
      </c>
      <c r="F176" s="1">
        <v>0.465610900000683</v>
      </c>
      <c r="G176" s="1">
        <f t="shared" si="2"/>
        <v>465.61090000068299</v>
      </c>
    </row>
    <row r="177" spans="1:7" x14ac:dyDescent="0.35">
      <c r="A177" s="1" t="s">
        <v>20</v>
      </c>
      <c r="B177" s="1" t="s">
        <v>10</v>
      </c>
      <c r="C177" s="1" t="s">
        <v>11</v>
      </c>
      <c r="D177" s="1" t="s">
        <v>11</v>
      </c>
      <c r="E177" s="1">
        <v>1</v>
      </c>
      <c r="F177" s="1">
        <v>1.3824894000008401</v>
      </c>
      <c r="G177" s="1">
        <f t="shared" si="2"/>
        <v>1382.4894000008401</v>
      </c>
    </row>
    <row r="178" spans="1:7" x14ac:dyDescent="0.35">
      <c r="A178" s="1" t="s">
        <v>22</v>
      </c>
      <c r="B178" s="1" t="s">
        <v>7</v>
      </c>
      <c r="C178" s="1" t="s">
        <v>8</v>
      </c>
      <c r="D178" s="1" t="s">
        <v>8</v>
      </c>
      <c r="E178" s="1">
        <v>1</v>
      </c>
      <c r="F178" s="1">
        <v>0.55642290000105199</v>
      </c>
      <c r="G178" s="1">
        <f t="shared" si="2"/>
        <v>556.42290000105197</v>
      </c>
    </row>
    <row r="179" spans="1:7" x14ac:dyDescent="0.35">
      <c r="A179" s="1" t="s">
        <v>29</v>
      </c>
      <c r="B179" s="1" t="s">
        <v>7</v>
      </c>
      <c r="C179" s="1" t="s">
        <v>8</v>
      </c>
      <c r="D179" s="1" t="s">
        <v>8</v>
      </c>
      <c r="E179" s="1">
        <v>1</v>
      </c>
      <c r="F179" s="1">
        <v>0.70922100000097998</v>
      </c>
      <c r="G179" s="1">
        <f t="shared" si="2"/>
        <v>709.22100000097998</v>
      </c>
    </row>
    <row r="180" spans="1:7" x14ac:dyDescent="0.35">
      <c r="A180" s="1" t="s">
        <v>24</v>
      </c>
      <c r="B180" s="1" t="s">
        <v>7</v>
      </c>
      <c r="C180" s="1" t="s">
        <v>8</v>
      </c>
      <c r="D180" s="1" t="s">
        <v>8</v>
      </c>
      <c r="E180" s="1">
        <v>1</v>
      </c>
      <c r="F180" s="1">
        <v>0.42429919999995003</v>
      </c>
      <c r="G180" s="1">
        <f t="shared" si="2"/>
        <v>424.29919999995002</v>
      </c>
    </row>
    <row r="181" spans="1:7" x14ac:dyDescent="0.35">
      <c r="A181" s="1" t="s">
        <v>13</v>
      </c>
      <c r="B181" s="1" t="s">
        <v>7</v>
      </c>
      <c r="C181" s="1" t="s">
        <v>8</v>
      </c>
      <c r="D181" s="1" t="s">
        <v>8</v>
      </c>
      <c r="E181" s="1">
        <v>1</v>
      </c>
      <c r="F181" s="1">
        <v>0.348669299999528</v>
      </c>
      <c r="G181" s="1">
        <f t="shared" si="2"/>
        <v>348.66929999952799</v>
      </c>
    </row>
    <row r="182" spans="1:7" x14ac:dyDescent="0.35">
      <c r="A182" s="1" t="s">
        <v>9</v>
      </c>
      <c r="B182" s="1" t="s">
        <v>10</v>
      </c>
      <c r="C182" s="1" t="s">
        <v>11</v>
      </c>
      <c r="D182" s="1" t="s">
        <v>8</v>
      </c>
      <c r="E182" s="1">
        <v>0</v>
      </c>
      <c r="F182" s="1">
        <v>1.2242693999996801</v>
      </c>
      <c r="G182" s="1">
        <f t="shared" si="2"/>
        <v>1224.26939999968</v>
      </c>
    </row>
    <row r="183" spans="1:7" x14ac:dyDescent="0.35">
      <c r="A183" s="1" t="s">
        <v>25</v>
      </c>
      <c r="B183" s="1" t="s">
        <v>10</v>
      </c>
      <c r="C183" s="1" t="s">
        <v>11</v>
      </c>
      <c r="D183" s="1" t="s">
        <v>8</v>
      </c>
      <c r="E183" s="1">
        <v>0</v>
      </c>
      <c r="F183" s="1">
        <v>0.87347509999926798</v>
      </c>
      <c r="G183" s="1">
        <f t="shared" si="2"/>
        <v>873.47509999926797</v>
      </c>
    </row>
    <row r="184" spans="1:7" x14ac:dyDescent="0.35">
      <c r="A184" s="1" t="s">
        <v>6</v>
      </c>
      <c r="B184" s="1" t="s">
        <v>7</v>
      </c>
      <c r="C184" s="1" t="s">
        <v>8</v>
      </c>
      <c r="D184" s="1" t="s">
        <v>8</v>
      </c>
      <c r="E184" s="1">
        <v>1</v>
      </c>
      <c r="F184" s="1">
        <v>0.42836610000085701</v>
      </c>
      <c r="G184" s="1">
        <f t="shared" si="2"/>
        <v>428.36610000085699</v>
      </c>
    </row>
    <row r="185" spans="1:7" x14ac:dyDescent="0.35">
      <c r="A185" s="1" t="s">
        <v>27</v>
      </c>
      <c r="B185" s="1" t="s">
        <v>7</v>
      </c>
      <c r="C185" s="1" t="s">
        <v>8</v>
      </c>
      <c r="D185" s="1" t="s">
        <v>8</v>
      </c>
      <c r="E185" s="1">
        <v>1</v>
      </c>
      <c r="F185" s="1">
        <v>0.67287829999986504</v>
      </c>
      <c r="G185" s="1">
        <f t="shared" si="2"/>
        <v>672.87829999986502</v>
      </c>
    </row>
    <row r="186" spans="1:7" x14ac:dyDescent="0.35">
      <c r="A186" s="1" t="s">
        <v>18</v>
      </c>
      <c r="B186" s="1" t="s">
        <v>7</v>
      </c>
      <c r="C186" s="1" t="s">
        <v>8</v>
      </c>
      <c r="D186" s="1" t="s">
        <v>8</v>
      </c>
      <c r="E186" s="1">
        <v>1</v>
      </c>
      <c r="F186" s="1">
        <v>1.50789789999907</v>
      </c>
      <c r="G186" s="1">
        <f t="shared" si="2"/>
        <v>1507.89789999907</v>
      </c>
    </row>
    <row r="187" spans="1:7" x14ac:dyDescent="0.35">
      <c r="A187" s="1" t="s">
        <v>19</v>
      </c>
      <c r="B187" s="1" t="s">
        <v>7</v>
      </c>
      <c r="C187" s="1" t="s">
        <v>8</v>
      </c>
      <c r="D187" s="1" t="s">
        <v>8</v>
      </c>
      <c r="E187" s="1">
        <v>1</v>
      </c>
      <c r="F187" s="1">
        <v>0.65470910000112703</v>
      </c>
      <c r="G187" s="1">
        <f t="shared" si="2"/>
        <v>654.70910000112701</v>
      </c>
    </row>
    <row r="188" spans="1:7" x14ac:dyDescent="0.35">
      <c r="A188" s="1" t="s">
        <v>15</v>
      </c>
      <c r="B188" s="1" t="s">
        <v>7</v>
      </c>
      <c r="C188" s="1" t="s">
        <v>8</v>
      </c>
      <c r="D188" s="1" t="s">
        <v>8</v>
      </c>
      <c r="E188" s="1">
        <v>1</v>
      </c>
      <c r="F188" s="1">
        <v>4.9952050000010697</v>
      </c>
      <c r="G188" s="1">
        <f t="shared" si="2"/>
        <v>4995.2050000010695</v>
      </c>
    </row>
    <row r="189" spans="1:7" x14ac:dyDescent="0.35">
      <c r="A189" s="1" t="s">
        <v>17</v>
      </c>
      <c r="B189" s="1" t="s">
        <v>10</v>
      </c>
      <c r="C189" s="1" t="s">
        <v>11</v>
      </c>
      <c r="D189" s="1" t="s">
        <v>11</v>
      </c>
      <c r="E189" s="1">
        <v>1</v>
      </c>
      <c r="F189" s="1">
        <v>1.8222911000011599</v>
      </c>
      <c r="G189" s="1">
        <f t="shared" si="2"/>
        <v>1822.29110000116</v>
      </c>
    </row>
    <row r="190" spans="1:7" x14ac:dyDescent="0.35">
      <c r="A190" s="1" t="s">
        <v>23</v>
      </c>
      <c r="B190" s="1" t="s">
        <v>10</v>
      </c>
      <c r="C190" s="1" t="s">
        <v>11</v>
      </c>
      <c r="D190" s="1" t="s">
        <v>8</v>
      </c>
      <c r="E190" s="1">
        <v>0</v>
      </c>
      <c r="F190" s="1">
        <v>0.57101619999957598</v>
      </c>
      <c r="G190" s="1">
        <f t="shared" si="2"/>
        <v>571.01619999957597</v>
      </c>
    </row>
    <row r="191" spans="1:7" x14ac:dyDescent="0.35">
      <c r="A191" s="1" t="s">
        <v>14</v>
      </c>
      <c r="B191" s="1" t="s">
        <v>10</v>
      </c>
      <c r="C191" s="1" t="s">
        <v>11</v>
      </c>
      <c r="D191" s="1" t="s">
        <v>8</v>
      </c>
      <c r="E191" s="1">
        <v>0</v>
      </c>
      <c r="F191" s="1">
        <v>0.79652959999839301</v>
      </c>
      <c r="G191" s="1">
        <f t="shared" si="2"/>
        <v>796.529599998393</v>
      </c>
    </row>
    <row r="192" spans="1:7" x14ac:dyDescent="0.35">
      <c r="A192" s="1" t="s">
        <v>28</v>
      </c>
      <c r="B192" s="1" t="s">
        <v>10</v>
      </c>
      <c r="C192" s="1" t="s">
        <v>11</v>
      </c>
      <c r="D192" s="1" t="s">
        <v>11</v>
      </c>
      <c r="E192" s="1">
        <v>1</v>
      </c>
      <c r="F192" s="1">
        <v>1.1762954999994599</v>
      </c>
      <c r="G192" s="1">
        <f t="shared" si="2"/>
        <v>1176.2954999994599</v>
      </c>
    </row>
    <row r="193" spans="1:7" x14ac:dyDescent="0.35">
      <c r="A193" s="1" t="s">
        <v>20</v>
      </c>
      <c r="B193" s="1" t="s">
        <v>10</v>
      </c>
      <c r="C193" s="1" t="s">
        <v>11</v>
      </c>
      <c r="D193" s="1" t="s">
        <v>11</v>
      </c>
      <c r="E193" s="1">
        <v>1</v>
      </c>
      <c r="F193" s="1">
        <v>0.66819930000019601</v>
      </c>
      <c r="G193" s="1">
        <f t="shared" si="2"/>
        <v>668.19930000019599</v>
      </c>
    </row>
    <row r="194" spans="1:7" x14ac:dyDescent="0.35">
      <c r="A194" s="1" t="s">
        <v>13</v>
      </c>
      <c r="B194" s="1" t="s">
        <v>7</v>
      </c>
      <c r="C194" s="1" t="s">
        <v>8</v>
      </c>
      <c r="D194" s="1" t="s">
        <v>8</v>
      </c>
      <c r="E194" s="1">
        <v>1</v>
      </c>
      <c r="F194" s="1">
        <v>2.5685812000010602</v>
      </c>
      <c r="G194" s="1">
        <f t="shared" si="2"/>
        <v>2568.5812000010601</v>
      </c>
    </row>
    <row r="195" spans="1:7" x14ac:dyDescent="0.35">
      <c r="A195" s="1" t="s">
        <v>24</v>
      </c>
      <c r="B195" s="1" t="s">
        <v>7</v>
      </c>
      <c r="C195" s="1" t="s">
        <v>8</v>
      </c>
      <c r="D195" s="1" t="s">
        <v>8</v>
      </c>
      <c r="E195" s="1">
        <v>1</v>
      </c>
      <c r="F195" s="1">
        <v>0.53921240000090598</v>
      </c>
      <c r="G195" s="1">
        <f t="shared" ref="G195:G201" si="3">F195*1000</f>
        <v>539.21240000090597</v>
      </c>
    </row>
    <row r="196" spans="1:7" x14ac:dyDescent="0.35">
      <c r="A196" s="1" t="s">
        <v>26</v>
      </c>
      <c r="B196" s="1" t="s">
        <v>10</v>
      </c>
      <c r="C196" s="1" t="s">
        <v>11</v>
      </c>
      <c r="D196" s="1" t="s">
        <v>11</v>
      </c>
      <c r="E196" s="1">
        <v>1</v>
      </c>
      <c r="F196" s="1">
        <v>1.4994774000006099</v>
      </c>
      <c r="G196" s="1">
        <f t="shared" si="3"/>
        <v>1499.4774000006098</v>
      </c>
    </row>
    <row r="197" spans="1:7" x14ac:dyDescent="0.35">
      <c r="A197" s="1" t="s">
        <v>16</v>
      </c>
      <c r="B197" s="1" t="s">
        <v>10</v>
      </c>
      <c r="C197" s="1" t="s">
        <v>11</v>
      </c>
      <c r="D197" s="1" t="s">
        <v>11</v>
      </c>
      <c r="E197" s="1">
        <v>1</v>
      </c>
      <c r="F197" s="1">
        <v>1.17424030000074</v>
      </c>
      <c r="G197" s="1">
        <f t="shared" si="3"/>
        <v>1174.24030000074</v>
      </c>
    </row>
    <row r="198" spans="1:7" x14ac:dyDescent="0.35">
      <c r="A198" s="1" t="s">
        <v>12</v>
      </c>
      <c r="B198" s="1" t="s">
        <v>7</v>
      </c>
      <c r="C198" s="1" t="s">
        <v>8</v>
      </c>
      <c r="D198" s="1" t="s">
        <v>11</v>
      </c>
      <c r="E198" s="1">
        <v>0</v>
      </c>
      <c r="F198" s="1">
        <v>0.95975480000015501</v>
      </c>
      <c r="G198" s="1">
        <f t="shared" si="3"/>
        <v>959.754800000155</v>
      </c>
    </row>
    <row r="199" spans="1:7" x14ac:dyDescent="0.35">
      <c r="A199" s="1" t="s">
        <v>21</v>
      </c>
      <c r="B199" s="1" t="s">
        <v>10</v>
      </c>
      <c r="C199" s="1" t="s">
        <v>11</v>
      </c>
      <c r="D199" s="1" t="s">
        <v>8</v>
      </c>
      <c r="E199" s="1">
        <v>0</v>
      </c>
      <c r="F199" s="1">
        <v>4.6151234999997497</v>
      </c>
      <c r="G199" s="1">
        <f t="shared" si="3"/>
        <v>4615.1234999997496</v>
      </c>
    </row>
    <row r="200" spans="1:7" x14ac:dyDescent="0.35">
      <c r="A200" s="1" t="s">
        <v>29</v>
      </c>
      <c r="B200" s="1" t="s">
        <v>7</v>
      </c>
      <c r="C200" s="1" t="s">
        <v>8</v>
      </c>
      <c r="D200" s="1" t="s">
        <v>8</v>
      </c>
      <c r="E200" s="1">
        <v>1</v>
      </c>
      <c r="F200" s="1">
        <v>1.4453343999994099</v>
      </c>
      <c r="G200" s="1">
        <f t="shared" si="3"/>
        <v>1445.3343999994099</v>
      </c>
    </row>
    <row r="201" spans="1:7" x14ac:dyDescent="0.35">
      <c r="A201" s="1" t="s">
        <v>22</v>
      </c>
      <c r="B201" s="1" t="s">
        <v>7</v>
      </c>
      <c r="C201" s="1" t="s">
        <v>8</v>
      </c>
      <c r="D201" s="1" t="s">
        <v>8</v>
      </c>
      <c r="E201" s="1">
        <v>1</v>
      </c>
      <c r="F201" s="1">
        <v>0.44121369999993398</v>
      </c>
      <c r="G201" s="1">
        <f t="shared" si="3"/>
        <v>441.21369999993397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10996-9E1A-4292-92D1-EC5528237A47}">
  <dimension ref="A1:K201"/>
  <sheetViews>
    <sheetView workbookViewId="0">
      <selection activeCell="I10" sqref="I10:J12"/>
    </sheetView>
  </sheetViews>
  <sheetFormatPr defaultRowHeight="14.5" x14ac:dyDescent="0.35"/>
  <cols>
    <col min="1" max="9" width="10.7265625" customWidth="1"/>
    <col min="10" max="10" width="13.08984375" customWidth="1"/>
    <col min="11" max="47" width="10.72656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30</v>
      </c>
    </row>
    <row r="2" spans="1:11" x14ac:dyDescent="0.35">
      <c r="A2" s="1" t="s">
        <v>15</v>
      </c>
      <c r="B2" s="1" t="s">
        <v>7</v>
      </c>
      <c r="C2" s="1" t="s">
        <v>8</v>
      </c>
      <c r="D2" s="1" t="s">
        <v>8</v>
      </c>
      <c r="E2" s="1">
        <v>1</v>
      </c>
      <c r="F2" s="1">
        <v>0.93976759999895798</v>
      </c>
      <c r="G2" s="1">
        <f>F2*1000</f>
        <v>939.76759999895796</v>
      </c>
    </row>
    <row r="3" spans="1:11" x14ac:dyDescent="0.35">
      <c r="A3" s="1" t="s">
        <v>20</v>
      </c>
      <c r="B3" s="1" t="s">
        <v>10</v>
      </c>
      <c r="C3" s="1" t="s">
        <v>11</v>
      </c>
      <c r="D3" s="1" t="s">
        <v>11</v>
      </c>
      <c r="E3" s="1">
        <v>1</v>
      </c>
      <c r="F3" s="1">
        <v>1.3365690999999</v>
      </c>
      <c r="G3" s="1">
        <f t="shared" ref="G3:G66" si="0">F3*1000</f>
        <v>1336.5690999999001</v>
      </c>
    </row>
    <row r="4" spans="1:11" x14ac:dyDescent="0.35">
      <c r="A4" s="1" t="s">
        <v>22</v>
      </c>
      <c r="B4" s="1" t="s">
        <v>7</v>
      </c>
      <c r="C4" s="1" t="s">
        <v>8</v>
      </c>
      <c r="D4" s="1" t="s">
        <v>8</v>
      </c>
      <c r="E4" s="1">
        <v>1</v>
      </c>
      <c r="F4" s="1">
        <v>0.55021980000128601</v>
      </c>
      <c r="G4" s="1">
        <f t="shared" si="0"/>
        <v>550.21980000128599</v>
      </c>
    </row>
    <row r="5" spans="1:11" x14ac:dyDescent="0.35">
      <c r="A5" s="1" t="s">
        <v>29</v>
      </c>
      <c r="B5" s="1" t="s">
        <v>7</v>
      </c>
      <c r="C5" s="1" t="s">
        <v>8</v>
      </c>
      <c r="D5" s="1" t="s">
        <v>8</v>
      </c>
      <c r="E5" s="1">
        <v>1</v>
      </c>
      <c r="F5" s="1">
        <v>0.45509339999989601</v>
      </c>
      <c r="G5" s="1">
        <f t="shared" si="0"/>
        <v>455.09339999989601</v>
      </c>
    </row>
    <row r="6" spans="1:11" x14ac:dyDescent="0.35">
      <c r="A6" s="1" t="s">
        <v>19</v>
      </c>
      <c r="B6" s="1" t="s">
        <v>7</v>
      </c>
      <c r="C6" s="1" t="s">
        <v>8</v>
      </c>
      <c r="D6" s="1" t="s">
        <v>8</v>
      </c>
      <c r="E6" s="1">
        <v>1</v>
      </c>
      <c r="F6" s="1">
        <v>0.48503699999855598</v>
      </c>
      <c r="G6" s="1">
        <f t="shared" si="0"/>
        <v>485.03699999855598</v>
      </c>
      <c r="I6" s="1" t="s">
        <v>31</v>
      </c>
      <c r="J6" s="1" t="s">
        <v>32</v>
      </c>
      <c r="K6" s="1" t="s">
        <v>33</v>
      </c>
    </row>
    <row r="7" spans="1:11" x14ac:dyDescent="0.35">
      <c r="A7" s="1" t="s">
        <v>24</v>
      </c>
      <c r="B7" s="1" t="s">
        <v>7</v>
      </c>
      <c r="C7" s="1" t="s">
        <v>8</v>
      </c>
      <c r="D7" s="1" t="s">
        <v>8</v>
      </c>
      <c r="E7" s="1">
        <v>1</v>
      </c>
      <c r="F7" s="1">
        <v>0.42679889999999399</v>
      </c>
      <c r="G7" s="1">
        <f t="shared" si="0"/>
        <v>426.79889999999398</v>
      </c>
      <c r="I7" s="1" t="s">
        <v>34</v>
      </c>
      <c r="J7" s="1">
        <f>AVERAGEIF(B1:B201,"word",E1:E201)*100</f>
        <v>100</v>
      </c>
      <c r="K7" s="1">
        <f>COUNTIFS(B1:B201,"word",E1:E201,0)</f>
        <v>0</v>
      </c>
    </row>
    <row r="8" spans="1:11" x14ac:dyDescent="0.35">
      <c r="A8" s="1" t="s">
        <v>21</v>
      </c>
      <c r="B8" s="1" t="s">
        <v>10</v>
      </c>
      <c r="C8" s="1" t="s">
        <v>11</v>
      </c>
      <c r="D8" s="1" t="s">
        <v>8</v>
      </c>
      <c r="E8" s="1">
        <v>0</v>
      </c>
      <c r="F8" s="1">
        <v>2.51341520000096</v>
      </c>
      <c r="G8" s="1">
        <f t="shared" si="0"/>
        <v>2513.4152000009599</v>
      </c>
      <c r="I8" s="1" t="s">
        <v>35</v>
      </c>
      <c r="J8" s="1">
        <f>AVERAGEIF(B1:B201,"nonword",E1:E201)*100</f>
        <v>78</v>
      </c>
      <c r="K8" s="1">
        <f>COUNTIFS(B1:B201,"nonword",E1:E201,0)</f>
        <v>22</v>
      </c>
    </row>
    <row r="9" spans="1:11" x14ac:dyDescent="0.35">
      <c r="A9" s="1" t="s">
        <v>18</v>
      </c>
      <c r="B9" s="1" t="s">
        <v>7</v>
      </c>
      <c r="C9" s="1" t="s">
        <v>8</v>
      </c>
      <c r="D9" s="1" t="s">
        <v>8</v>
      </c>
      <c r="E9" s="1">
        <v>1</v>
      </c>
      <c r="F9" s="1">
        <v>1.9089215000003601</v>
      </c>
      <c r="G9" s="1">
        <f t="shared" si="0"/>
        <v>1908.9215000003601</v>
      </c>
    </row>
    <row r="10" spans="1:11" x14ac:dyDescent="0.35">
      <c r="A10" s="1" t="s">
        <v>28</v>
      </c>
      <c r="B10" s="1" t="s">
        <v>10</v>
      </c>
      <c r="C10" s="1" t="s">
        <v>11</v>
      </c>
      <c r="D10" s="1" t="s">
        <v>11</v>
      </c>
      <c r="E10" s="1">
        <v>1</v>
      </c>
      <c r="F10" s="1">
        <v>0.91604130000087003</v>
      </c>
      <c r="G10" s="1">
        <f t="shared" si="0"/>
        <v>916.04130000087002</v>
      </c>
      <c r="I10" s="1" t="s">
        <v>36</v>
      </c>
      <c r="J10" s="1" t="s">
        <v>37</v>
      </c>
    </row>
    <row r="11" spans="1:11" x14ac:dyDescent="0.35">
      <c r="A11" s="1" t="s">
        <v>26</v>
      </c>
      <c r="B11" s="1" t="s">
        <v>10</v>
      </c>
      <c r="C11" s="1" t="s">
        <v>11</v>
      </c>
      <c r="D11" s="1" t="s">
        <v>11</v>
      </c>
      <c r="E11" s="1">
        <v>1</v>
      </c>
      <c r="F11" s="1">
        <v>0.86919070000112697</v>
      </c>
      <c r="G11" s="1">
        <f t="shared" si="0"/>
        <v>869.19070000112697</v>
      </c>
      <c r="I11" s="1" t="s">
        <v>34</v>
      </c>
      <c r="J11" s="1">
        <f>AVERAGEIF(B1:B201,"word",F1:F201)</f>
        <v>0.8572500010000107</v>
      </c>
    </row>
    <row r="12" spans="1:11" x14ac:dyDescent="0.35">
      <c r="A12" s="1" t="s">
        <v>25</v>
      </c>
      <c r="B12" s="1" t="s">
        <v>10</v>
      </c>
      <c r="C12" s="1" t="s">
        <v>11</v>
      </c>
      <c r="D12" s="1" t="s">
        <v>8</v>
      </c>
      <c r="E12" s="1">
        <v>0</v>
      </c>
      <c r="F12" s="1">
        <v>1.77512829999977</v>
      </c>
      <c r="G12" s="1">
        <f t="shared" si="0"/>
        <v>1775.12829999977</v>
      </c>
      <c r="I12" s="1" t="s">
        <v>38</v>
      </c>
      <c r="J12" s="1">
        <f>AVERAGEIF(B1:B201,"nonword",F1:F201)</f>
        <v>1.420295089000007</v>
      </c>
    </row>
    <row r="13" spans="1:11" x14ac:dyDescent="0.35">
      <c r="A13" s="1" t="s">
        <v>23</v>
      </c>
      <c r="B13" s="1" t="s">
        <v>10</v>
      </c>
      <c r="C13" s="1" t="s">
        <v>11</v>
      </c>
      <c r="D13" s="1" t="s">
        <v>8</v>
      </c>
      <c r="E13" s="1">
        <v>0</v>
      </c>
      <c r="F13" s="1">
        <v>1.2368304000010499</v>
      </c>
      <c r="G13" s="1">
        <f t="shared" si="0"/>
        <v>1236.8304000010498</v>
      </c>
    </row>
    <row r="14" spans="1:11" x14ac:dyDescent="0.35">
      <c r="A14" s="1" t="s">
        <v>12</v>
      </c>
      <c r="B14" s="1" t="s">
        <v>7</v>
      </c>
      <c r="C14" s="1" t="s">
        <v>8</v>
      </c>
      <c r="D14" s="1" t="s">
        <v>8</v>
      </c>
      <c r="E14" s="1">
        <v>1</v>
      </c>
      <c r="F14" s="1">
        <v>1.82362900000043</v>
      </c>
      <c r="G14" s="1">
        <f t="shared" si="0"/>
        <v>1823.6290000004301</v>
      </c>
    </row>
    <row r="15" spans="1:11" x14ac:dyDescent="0.35">
      <c r="A15" s="1" t="s">
        <v>17</v>
      </c>
      <c r="B15" s="1" t="s">
        <v>10</v>
      </c>
      <c r="C15" s="1" t="s">
        <v>11</v>
      </c>
      <c r="D15" s="1" t="s">
        <v>11</v>
      </c>
      <c r="E15" s="1">
        <v>1</v>
      </c>
      <c r="F15" s="1">
        <v>1.3655524999994599</v>
      </c>
      <c r="G15" s="1">
        <f t="shared" si="0"/>
        <v>1365.55249999946</v>
      </c>
    </row>
    <row r="16" spans="1:11" x14ac:dyDescent="0.35">
      <c r="A16" s="1" t="s">
        <v>6</v>
      </c>
      <c r="B16" s="1" t="s">
        <v>7</v>
      </c>
      <c r="C16" s="1" t="s">
        <v>8</v>
      </c>
      <c r="D16" s="1" t="s">
        <v>8</v>
      </c>
      <c r="E16" s="1">
        <v>1</v>
      </c>
      <c r="F16" s="1">
        <v>0.62801419999959696</v>
      </c>
      <c r="G16" s="1">
        <f t="shared" si="0"/>
        <v>628.01419999959694</v>
      </c>
    </row>
    <row r="17" spans="1:7" x14ac:dyDescent="0.35">
      <c r="A17" s="1" t="s">
        <v>14</v>
      </c>
      <c r="B17" s="1" t="s">
        <v>10</v>
      </c>
      <c r="C17" s="1" t="s">
        <v>11</v>
      </c>
      <c r="D17" s="1" t="s">
        <v>11</v>
      </c>
      <c r="E17" s="1">
        <v>1</v>
      </c>
      <c r="F17" s="1">
        <v>1.0292188000003</v>
      </c>
      <c r="G17" s="1">
        <f t="shared" si="0"/>
        <v>1029.2188000003</v>
      </c>
    </row>
    <row r="18" spans="1:7" x14ac:dyDescent="0.35">
      <c r="A18" s="1" t="s">
        <v>27</v>
      </c>
      <c r="B18" s="1" t="s">
        <v>7</v>
      </c>
      <c r="C18" s="1" t="s">
        <v>8</v>
      </c>
      <c r="D18" s="1" t="s">
        <v>8</v>
      </c>
      <c r="E18" s="1">
        <v>1</v>
      </c>
      <c r="F18" s="1">
        <v>0.56849669999974095</v>
      </c>
      <c r="G18" s="1">
        <f t="shared" si="0"/>
        <v>568.49669999974094</v>
      </c>
    </row>
    <row r="19" spans="1:7" x14ac:dyDescent="0.35">
      <c r="A19" s="1" t="s">
        <v>13</v>
      </c>
      <c r="B19" s="1" t="s">
        <v>7</v>
      </c>
      <c r="C19" s="1" t="s">
        <v>8</v>
      </c>
      <c r="D19" s="1" t="s">
        <v>8</v>
      </c>
      <c r="E19" s="1">
        <v>1</v>
      </c>
      <c r="F19" s="1">
        <v>0.38776710000092801</v>
      </c>
      <c r="G19" s="1">
        <f t="shared" si="0"/>
        <v>387.767100000928</v>
      </c>
    </row>
    <row r="20" spans="1:7" x14ac:dyDescent="0.35">
      <c r="A20" s="1" t="s">
        <v>16</v>
      </c>
      <c r="B20" s="1" t="s">
        <v>10</v>
      </c>
      <c r="C20" s="1" t="s">
        <v>11</v>
      </c>
      <c r="D20" s="1" t="s">
        <v>11</v>
      </c>
      <c r="E20" s="1">
        <v>1</v>
      </c>
      <c r="F20" s="1">
        <v>0.95704929999919797</v>
      </c>
      <c r="G20" s="1">
        <f t="shared" si="0"/>
        <v>957.04929999919796</v>
      </c>
    </row>
    <row r="21" spans="1:7" x14ac:dyDescent="0.35">
      <c r="A21" s="1" t="s">
        <v>9</v>
      </c>
      <c r="B21" s="1" t="s">
        <v>10</v>
      </c>
      <c r="C21" s="1" t="s">
        <v>11</v>
      </c>
      <c r="D21" s="1" t="s">
        <v>11</v>
      </c>
      <c r="E21" s="1">
        <v>1</v>
      </c>
      <c r="F21" s="1">
        <v>1.14637680000123</v>
      </c>
      <c r="G21" s="1">
        <f t="shared" si="0"/>
        <v>1146.3768000012301</v>
      </c>
    </row>
    <row r="22" spans="1:7" x14ac:dyDescent="0.35">
      <c r="A22" s="1" t="s">
        <v>15</v>
      </c>
      <c r="B22" s="1" t="s">
        <v>7</v>
      </c>
      <c r="C22" s="1" t="s">
        <v>8</v>
      </c>
      <c r="D22" s="1" t="s">
        <v>8</v>
      </c>
      <c r="E22" s="1">
        <v>1</v>
      </c>
      <c r="F22" s="1">
        <v>3.18254709999928</v>
      </c>
      <c r="G22" s="1">
        <f t="shared" si="0"/>
        <v>3182.5470999992799</v>
      </c>
    </row>
    <row r="23" spans="1:7" x14ac:dyDescent="0.35">
      <c r="A23" s="1" t="s">
        <v>19</v>
      </c>
      <c r="B23" s="1" t="s">
        <v>7</v>
      </c>
      <c r="C23" s="1" t="s">
        <v>8</v>
      </c>
      <c r="D23" s="1" t="s">
        <v>8</v>
      </c>
      <c r="E23" s="1">
        <v>1</v>
      </c>
      <c r="F23" s="1">
        <v>0.64834250000058002</v>
      </c>
      <c r="G23" s="1">
        <f t="shared" si="0"/>
        <v>648.34250000058</v>
      </c>
    </row>
    <row r="24" spans="1:7" x14ac:dyDescent="0.35">
      <c r="A24" s="1" t="s">
        <v>21</v>
      </c>
      <c r="B24" s="1" t="s">
        <v>10</v>
      </c>
      <c r="C24" s="1" t="s">
        <v>11</v>
      </c>
      <c r="D24" s="1" t="s">
        <v>11</v>
      </c>
      <c r="E24" s="1">
        <v>1</v>
      </c>
      <c r="F24" s="1">
        <v>2.2403455999992699</v>
      </c>
      <c r="G24" s="1">
        <f t="shared" si="0"/>
        <v>2240.3455999992698</v>
      </c>
    </row>
    <row r="25" spans="1:7" x14ac:dyDescent="0.35">
      <c r="A25" s="1" t="s">
        <v>18</v>
      </c>
      <c r="B25" s="1" t="s">
        <v>7</v>
      </c>
      <c r="C25" s="1" t="s">
        <v>8</v>
      </c>
      <c r="D25" s="1" t="s">
        <v>8</v>
      </c>
      <c r="E25" s="1">
        <v>1</v>
      </c>
      <c r="F25" s="1">
        <v>0.52861619999930498</v>
      </c>
      <c r="G25" s="1">
        <f t="shared" si="0"/>
        <v>528.61619999930497</v>
      </c>
    </row>
    <row r="26" spans="1:7" x14ac:dyDescent="0.35">
      <c r="A26" s="1" t="s">
        <v>14</v>
      </c>
      <c r="B26" s="1" t="s">
        <v>10</v>
      </c>
      <c r="C26" s="1" t="s">
        <v>11</v>
      </c>
      <c r="D26" s="1" t="s">
        <v>11</v>
      </c>
      <c r="E26" s="1">
        <v>1</v>
      </c>
      <c r="F26" s="1">
        <v>1.39141310000013</v>
      </c>
      <c r="G26" s="1">
        <f t="shared" si="0"/>
        <v>1391.41310000013</v>
      </c>
    </row>
    <row r="27" spans="1:7" x14ac:dyDescent="0.35">
      <c r="A27" s="1" t="s">
        <v>24</v>
      </c>
      <c r="B27" s="1" t="s">
        <v>7</v>
      </c>
      <c r="C27" s="1" t="s">
        <v>8</v>
      </c>
      <c r="D27" s="1" t="s">
        <v>8</v>
      </c>
      <c r="E27" s="1">
        <v>1</v>
      </c>
      <c r="F27" s="1">
        <v>0.53261720000045898</v>
      </c>
      <c r="G27" s="1">
        <f t="shared" si="0"/>
        <v>532.61720000045898</v>
      </c>
    </row>
    <row r="28" spans="1:7" x14ac:dyDescent="0.35">
      <c r="A28" s="1" t="s">
        <v>20</v>
      </c>
      <c r="B28" s="1" t="s">
        <v>10</v>
      </c>
      <c r="C28" s="1" t="s">
        <v>11</v>
      </c>
      <c r="D28" s="1" t="s">
        <v>11</v>
      </c>
      <c r="E28" s="1">
        <v>1</v>
      </c>
      <c r="F28" s="1">
        <v>2.6711943000009302</v>
      </c>
      <c r="G28" s="1">
        <f t="shared" si="0"/>
        <v>2671.1943000009301</v>
      </c>
    </row>
    <row r="29" spans="1:7" x14ac:dyDescent="0.35">
      <c r="A29" s="1" t="s">
        <v>22</v>
      </c>
      <c r="B29" s="1" t="s">
        <v>7</v>
      </c>
      <c r="C29" s="1" t="s">
        <v>8</v>
      </c>
      <c r="D29" s="1" t="s">
        <v>8</v>
      </c>
      <c r="E29" s="1">
        <v>1</v>
      </c>
      <c r="F29" s="1">
        <v>0.56978630000048702</v>
      </c>
      <c r="G29" s="1">
        <f t="shared" si="0"/>
        <v>569.78630000048702</v>
      </c>
    </row>
    <row r="30" spans="1:7" x14ac:dyDescent="0.35">
      <c r="A30" s="1" t="s">
        <v>23</v>
      </c>
      <c r="B30" s="1" t="s">
        <v>10</v>
      </c>
      <c r="C30" s="1" t="s">
        <v>11</v>
      </c>
      <c r="D30" s="1" t="s">
        <v>11</v>
      </c>
      <c r="E30" s="1">
        <v>1</v>
      </c>
      <c r="F30" s="1">
        <v>2.8517989000010799</v>
      </c>
      <c r="G30" s="1">
        <f t="shared" si="0"/>
        <v>2851.7989000010798</v>
      </c>
    </row>
    <row r="31" spans="1:7" x14ac:dyDescent="0.35">
      <c r="A31" s="1" t="s">
        <v>27</v>
      </c>
      <c r="B31" s="1" t="s">
        <v>7</v>
      </c>
      <c r="C31" s="1" t="s">
        <v>8</v>
      </c>
      <c r="D31" s="1" t="s">
        <v>8</v>
      </c>
      <c r="E31" s="1">
        <v>1</v>
      </c>
      <c r="F31" s="1">
        <v>0.57778110000072003</v>
      </c>
      <c r="G31" s="1">
        <f t="shared" si="0"/>
        <v>577.78110000072002</v>
      </c>
    </row>
    <row r="32" spans="1:7" x14ac:dyDescent="0.35">
      <c r="A32" s="1" t="s">
        <v>9</v>
      </c>
      <c r="B32" s="1" t="s">
        <v>10</v>
      </c>
      <c r="C32" s="1" t="s">
        <v>11</v>
      </c>
      <c r="D32" s="1" t="s">
        <v>11</v>
      </c>
      <c r="E32" s="1">
        <v>1</v>
      </c>
      <c r="F32" s="1">
        <v>1.3077895999995199</v>
      </c>
      <c r="G32" s="1">
        <f t="shared" si="0"/>
        <v>1307.7895999995199</v>
      </c>
    </row>
    <row r="33" spans="1:7" x14ac:dyDescent="0.35">
      <c r="A33" s="1" t="s">
        <v>16</v>
      </c>
      <c r="B33" s="1" t="s">
        <v>10</v>
      </c>
      <c r="C33" s="1" t="s">
        <v>11</v>
      </c>
      <c r="D33" s="1" t="s">
        <v>8</v>
      </c>
      <c r="E33" s="1">
        <v>0</v>
      </c>
      <c r="F33" s="1">
        <v>0.63471729999946502</v>
      </c>
      <c r="G33" s="1">
        <f t="shared" si="0"/>
        <v>634.71729999946501</v>
      </c>
    </row>
    <row r="34" spans="1:7" x14ac:dyDescent="0.35">
      <c r="A34" s="1" t="s">
        <v>25</v>
      </c>
      <c r="B34" s="1" t="s">
        <v>10</v>
      </c>
      <c r="C34" s="1" t="s">
        <v>11</v>
      </c>
      <c r="D34" s="1" t="s">
        <v>8</v>
      </c>
      <c r="E34" s="1">
        <v>0</v>
      </c>
      <c r="F34" s="1">
        <v>0.81685509999988404</v>
      </c>
      <c r="G34" s="1">
        <f t="shared" si="0"/>
        <v>816.85509999988403</v>
      </c>
    </row>
    <row r="35" spans="1:7" x14ac:dyDescent="0.35">
      <c r="A35" s="1" t="s">
        <v>29</v>
      </c>
      <c r="B35" s="1" t="s">
        <v>7</v>
      </c>
      <c r="C35" s="1" t="s">
        <v>8</v>
      </c>
      <c r="D35" s="1" t="s">
        <v>8</v>
      </c>
      <c r="E35" s="1">
        <v>1</v>
      </c>
      <c r="F35" s="1">
        <v>0.68295549999856997</v>
      </c>
      <c r="G35" s="1">
        <f t="shared" si="0"/>
        <v>682.95549999856996</v>
      </c>
    </row>
    <row r="36" spans="1:7" x14ac:dyDescent="0.35">
      <c r="A36" s="1" t="s">
        <v>17</v>
      </c>
      <c r="B36" s="1" t="s">
        <v>10</v>
      </c>
      <c r="C36" s="1" t="s">
        <v>11</v>
      </c>
      <c r="D36" s="1" t="s">
        <v>11</v>
      </c>
      <c r="E36" s="1">
        <v>1</v>
      </c>
      <c r="F36" s="1">
        <v>1.40594810000038</v>
      </c>
      <c r="G36" s="1">
        <f t="shared" si="0"/>
        <v>1405.94810000038</v>
      </c>
    </row>
    <row r="37" spans="1:7" x14ac:dyDescent="0.35">
      <c r="A37" s="1" t="s">
        <v>26</v>
      </c>
      <c r="B37" s="1" t="s">
        <v>10</v>
      </c>
      <c r="C37" s="1" t="s">
        <v>11</v>
      </c>
      <c r="D37" s="1" t="s">
        <v>11</v>
      </c>
      <c r="E37" s="1">
        <v>1</v>
      </c>
      <c r="F37" s="1">
        <v>1.82601260000046</v>
      </c>
      <c r="G37" s="1">
        <f t="shared" si="0"/>
        <v>1826.01260000046</v>
      </c>
    </row>
    <row r="38" spans="1:7" x14ac:dyDescent="0.35">
      <c r="A38" s="1" t="s">
        <v>12</v>
      </c>
      <c r="B38" s="1" t="s">
        <v>7</v>
      </c>
      <c r="C38" s="1" t="s">
        <v>8</v>
      </c>
      <c r="D38" s="1" t="s">
        <v>8</v>
      </c>
      <c r="E38" s="1">
        <v>1</v>
      </c>
      <c r="F38" s="1">
        <v>0.56975509999938301</v>
      </c>
      <c r="G38" s="1">
        <f t="shared" si="0"/>
        <v>569.75509999938299</v>
      </c>
    </row>
    <row r="39" spans="1:7" x14ac:dyDescent="0.35">
      <c r="A39" s="1" t="s">
        <v>13</v>
      </c>
      <c r="B39" s="1" t="s">
        <v>7</v>
      </c>
      <c r="C39" s="1" t="s">
        <v>8</v>
      </c>
      <c r="D39" s="1" t="s">
        <v>8</v>
      </c>
      <c r="E39" s="1">
        <v>1</v>
      </c>
      <c r="F39" s="1">
        <v>0.55950849999862795</v>
      </c>
      <c r="G39" s="1">
        <f t="shared" si="0"/>
        <v>559.50849999862794</v>
      </c>
    </row>
    <row r="40" spans="1:7" x14ac:dyDescent="0.35">
      <c r="A40" s="1" t="s">
        <v>28</v>
      </c>
      <c r="B40" s="1" t="s">
        <v>10</v>
      </c>
      <c r="C40" s="1" t="s">
        <v>11</v>
      </c>
      <c r="D40" s="1" t="s">
        <v>11</v>
      </c>
      <c r="E40" s="1">
        <v>1</v>
      </c>
      <c r="F40" s="1">
        <v>1.25231570000141</v>
      </c>
      <c r="G40" s="1">
        <f t="shared" si="0"/>
        <v>1252.3157000014101</v>
      </c>
    </row>
    <row r="41" spans="1:7" x14ac:dyDescent="0.35">
      <c r="A41" s="1" t="s">
        <v>6</v>
      </c>
      <c r="B41" s="1" t="s">
        <v>7</v>
      </c>
      <c r="C41" s="1" t="s">
        <v>8</v>
      </c>
      <c r="D41" s="1" t="s">
        <v>8</v>
      </c>
      <c r="E41" s="1">
        <v>1</v>
      </c>
      <c r="F41" s="1">
        <v>0.51163909999922896</v>
      </c>
      <c r="G41" s="1">
        <f t="shared" si="0"/>
        <v>511.63909999922896</v>
      </c>
    </row>
    <row r="42" spans="1:7" x14ac:dyDescent="0.35">
      <c r="A42" s="1" t="s">
        <v>13</v>
      </c>
      <c r="B42" s="1" t="s">
        <v>7</v>
      </c>
      <c r="C42" s="1" t="s">
        <v>8</v>
      </c>
      <c r="D42" s="1" t="s">
        <v>8</v>
      </c>
      <c r="E42" s="1">
        <v>1</v>
      </c>
      <c r="F42" s="1">
        <v>0.50967130000026295</v>
      </c>
      <c r="G42" s="1">
        <f t="shared" si="0"/>
        <v>509.67130000026293</v>
      </c>
    </row>
    <row r="43" spans="1:7" x14ac:dyDescent="0.35">
      <c r="A43" s="1" t="s">
        <v>24</v>
      </c>
      <c r="B43" s="1" t="s">
        <v>7</v>
      </c>
      <c r="C43" s="1" t="s">
        <v>8</v>
      </c>
      <c r="D43" s="1" t="s">
        <v>8</v>
      </c>
      <c r="E43" s="1">
        <v>1</v>
      </c>
      <c r="F43" s="1">
        <v>0.65665529999932903</v>
      </c>
      <c r="G43" s="1">
        <f t="shared" si="0"/>
        <v>656.65529999932903</v>
      </c>
    </row>
    <row r="44" spans="1:7" x14ac:dyDescent="0.35">
      <c r="A44" s="1" t="s">
        <v>21</v>
      </c>
      <c r="B44" s="1" t="s">
        <v>10</v>
      </c>
      <c r="C44" s="1" t="s">
        <v>11</v>
      </c>
      <c r="D44" s="1" t="s">
        <v>11</v>
      </c>
      <c r="E44" s="1">
        <v>1</v>
      </c>
      <c r="F44" s="1">
        <v>1.7379278999997001</v>
      </c>
      <c r="G44" s="1">
        <f t="shared" si="0"/>
        <v>1737.9278999997</v>
      </c>
    </row>
    <row r="45" spans="1:7" x14ac:dyDescent="0.35">
      <c r="A45" s="1" t="s">
        <v>27</v>
      </c>
      <c r="B45" s="1" t="s">
        <v>7</v>
      </c>
      <c r="C45" s="1" t="s">
        <v>8</v>
      </c>
      <c r="D45" s="1" t="s">
        <v>8</v>
      </c>
      <c r="E45" s="1">
        <v>1</v>
      </c>
      <c r="F45" s="1">
        <v>1.0390867000005499</v>
      </c>
      <c r="G45" s="1">
        <f t="shared" si="0"/>
        <v>1039.0867000005499</v>
      </c>
    </row>
    <row r="46" spans="1:7" x14ac:dyDescent="0.35">
      <c r="A46" s="1" t="s">
        <v>6</v>
      </c>
      <c r="B46" s="1" t="s">
        <v>7</v>
      </c>
      <c r="C46" s="1" t="s">
        <v>8</v>
      </c>
      <c r="D46" s="1" t="s">
        <v>8</v>
      </c>
      <c r="E46" s="1">
        <v>1</v>
      </c>
      <c r="F46" s="1">
        <v>0.448946499998783</v>
      </c>
      <c r="G46" s="1">
        <f t="shared" si="0"/>
        <v>448.946499998783</v>
      </c>
    </row>
    <row r="47" spans="1:7" x14ac:dyDescent="0.35">
      <c r="A47" s="1" t="s">
        <v>18</v>
      </c>
      <c r="B47" s="1" t="s">
        <v>7</v>
      </c>
      <c r="C47" s="1" t="s">
        <v>8</v>
      </c>
      <c r="D47" s="1" t="s">
        <v>8</v>
      </c>
      <c r="E47" s="1">
        <v>1</v>
      </c>
      <c r="F47" s="1">
        <v>4.0404250000010498</v>
      </c>
      <c r="G47" s="1">
        <f t="shared" si="0"/>
        <v>4040.4250000010497</v>
      </c>
    </row>
    <row r="48" spans="1:7" x14ac:dyDescent="0.35">
      <c r="A48" s="1" t="s">
        <v>23</v>
      </c>
      <c r="B48" s="1" t="s">
        <v>10</v>
      </c>
      <c r="C48" s="1" t="s">
        <v>11</v>
      </c>
      <c r="D48" s="1" t="s">
        <v>11</v>
      </c>
      <c r="E48" s="1">
        <v>1</v>
      </c>
      <c r="F48" s="1">
        <v>1.9156769000000999</v>
      </c>
      <c r="G48" s="1">
        <f t="shared" si="0"/>
        <v>1915.6769000001</v>
      </c>
    </row>
    <row r="49" spans="1:7" x14ac:dyDescent="0.35">
      <c r="A49" s="1" t="s">
        <v>29</v>
      </c>
      <c r="B49" s="1" t="s">
        <v>7</v>
      </c>
      <c r="C49" s="1" t="s">
        <v>8</v>
      </c>
      <c r="D49" s="1" t="s">
        <v>8</v>
      </c>
      <c r="E49" s="1">
        <v>1</v>
      </c>
      <c r="F49" s="1">
        <v>0.94063280000045701</v>
      </c>
      <c r="G49" s="1">
        <f t="shared" si="0"/>
        <v>940.632800000457</v>
      </c>
    </row>
    <row r="50" spans="1:7" x14ac:dyDescent="0.35">
      <c r="A50" s="1" t="s">
        <v>28</v>
      </c>
      <c r="B50" s="1" t="s">
        <v>10</v>
      </c>
      <c r="C50" s="1" t="s">
        <v>11</v>
      </c>
      <c r="D50" s="1" t="s">
        <v>11</v>
      </c>
      <c r="E50" s="1">
        <v>1</v>
      </c>
      <c r="F50" s="1">
        <v>1.0409153000000499</v>
      </c>
      <c r="G50" s="1">
        <f t="shared" si="0"/>
        <v>1040.9153000000499</v>
      </c>
    </row>
    <row r="51" spans="1:7" x14ac:dyDescent="0.35">
      <c r="A51" s="1" t="s">
        <v>26</v>
      </c>
      <c r="B51" s="1" t="s">
        <v>10</v>
      </c>
      <c r="C51" s="1" t="s">
        <v>11</v>
      </c>
      <c r="D51" s="1" t="s">
        <v>11</v>
      </c>
      <c r="E51" s="1">
        <v>1</v>
      </c>
      <c r="F51" s="1">
        <v>1.38668920000054</v>
      </c>
      <c r="G51" s="1">
        <f t="shared" si="0"/>
        <v>1386.68920000054</v>
      </c>
    </row>
    <row r="52" spans="1:7" x14ac:dyDescent="0.35">
      <c r="A52" s="1" t="s">
        <v>19</v>
      </c>
      <c r="B52" s="1" t="s">
        <v>7</v>
      </c>
      <c r="C52" s="1" t="s">
        <v>8</v>
      </c>
      <c r="D52" s="1" t="s">
        <v>8</v>
      </c>
      <c r="E52" s="1">
        <v>1</v>
      </c>
      <c r="F52" s="1">
        <v>0.78163690000110297</v>
      </c>
      <c r="G52" s="1">
        <f t="shared" si="0"/>
        <v>781.63690000110296</v>
      </c>
    </row>
    <row r="53" spans="1:7" x14ac:dyDescent="0.35">
      <c r="A53" s="1" t="s">
        <v>15</v>
      </c>
      <c r="B53" s="1" t="s">
        <v>7</v>
      </c>
      <c r="C53" s="1" t="s">
        <v>8</v>
      </c>
      <c r="D53" s="1" t="s">
        <v>8</v>
      </c>
      <c r="E53" s="1">
        <v>1</v>
      </c>
      <c r="F53" s="1">
        <v>0.63643580000098099</v>
      </c>
      <c r="G53" s="1">
        <f t="shared" si="0"/>
        <v>636.43580000098098</v>
      </c>
    </row>
    <row r="54" spans="1:7" x14ac:dyDescent="0.35">
      <c r="A54" s="1" t="s">
        <v>17</v>
      </c>
      <c r="B54" s="1" t="s">
        <v>10</v>
      </c>
      <c r="C54" s="1" t="s">
        <v>11</v>
      </c>
      <c r="D54" s="1" t="s">
        <v>11</v>
      </c>
      <c r="E54" s="1">
        <v>1</v>
      </c>
      <c r="F54" s="1">
        <v>1.3577783000000601</v>
      </c>
      <c r="G54" s="1">
        <f t="shared" si="0"/>
        <v>1357.77830000006</v>
      </c>
    </row>
    <row r="55" spans="1:7" x14ac:dyDescent="0.35">
      <c r="A55" s="1" t="s">
        <v>20</v>
      </c>
      <c r="B55" s="1" t="s">
        <v>10</v>
      </c>
      <c r="C55" s="1" t="s">
        <v>11</v>
      </c>
      <c r="D55" s="1" t="s">
        <v>11</v>
      </c>
      <c r="E55" s="1">
        <v>1</v>
      </c>
      <c r="F55" s="1">
        <v>1.7623034999996801</v>
      </c>
      <c r="G55" s="1">
        <f t="shared" si="0"/>
        <v>1762.3034999996801</v>
      </c>
    </row>
    <row r="56" spans="1:7" x14ac:dyDescent="0.35">
      <c r="A56" s="1" t="s">
        <v>12</v>
      </c>
      <c r="B56" s="1" t="s">
        <v>7</v>
      </c>
      <c r="C56" s="1" t="s">
        <v>8</v>
      </c>
      <c r="D56" s="1" t="s">
        <v>8</v>
      </c>
      <c r="E56" s="1">
        <v>1</v>
      </c>
      <c r="F56" s="1">
        <v>0.48889810000036898</v>
      </c>
      <c r="G56" s="1">
        <f t="shared" si="0"/>
        <v>488.89810000036897</v>
      </c>
    </row>
    <row r="57" spans="1:7" x14ac:dyDescent="0.35">
      <c r="A57" s="1" t="s">
        <v>22</v>
      </c>
      <c r="B57" s="1" t="s">
        <v>7</v>
      </c>
      <c r="C57" s="1" t="s">
        <v>8</v>
      </c>
      <c r="D57" s="1" t="s">
        <v>8</v>
      </c>
      <c r="E57" s="1">
        <v>1</v>
      </c>
      <c r="F57" s="1">
        <v>0.44232499999998198</v>
      </c>
      <c r="G57" s="1">
        <f t="shared" si="0"/>
        <v>442.32499999998197</v>
      </c>
    </row>
    <row r="58" spans="1:7" x14ac:dyDescent="0.35">
      <c r="A58" s="1" t="s">
        <v>9</v>
      </c>
      <c r="B58" s="1" t="s">
        <v>10</v>
      </c>
      <c r="C58" s="1" t="s">
        <v>11</v>
      </c>
      <c r="D58" s="1" t="s">
        <v>11</v>
      </c>
      <c r="E58" s="1">
        <v>1</v>
      </c>
      <c r="F58" s="1">
        <v>1.2585512999994499</v>
      </c>
      <c r="G58" s="1">
        <f t="shared" si="0"/>
        <v>1258.5512999994498</v>
      </c>
    </row>
    <row r="59" spans="1:7" x14ac:dyDescent="0.35">
      <c r="A59" s="1" t="s">
        <v>25</v>
      </c>
      <c r="B59" s="1" t="s">
        <v>10</v>
      </c>
      <c r="C59" s="1" t="s">
        <v>11</v>
      </c>
      <c r="D59" s="1" t="s">
        <v>8</v>
      </c>
      <c r="E59" s="1">
        <v>0</v>
      </c>
      <c r="F59" s="1">
        <v>1.5958455999989301</v>
      </c>
      <c r="G59" s="1">
        <f t="shared" si="0"/>
        <v>1595.8455999989301</v>
      </c>
    </row>
    <row r="60" spans="1:7" x14ac:dyDescent="0.35">
      <c r="A60" s="1" t="s">
        <v>14</v>
      </c>
      <c r="B60" s="1" t="s">
        <v>10</v>
      </c>
      <c r="C60" s="1" t="s">
        <v>11</v>
      </c>
      <c r="D60" s="1" t="s">
        <v>11</v>
      </c>
      <c r="E60" s="1">
        <v>1</v>
      </c>
      <c r="F60" s="1">
        <v>1.46988929999861</v>
      </c>
      <c r="G60" s="1">
        <f t="shared" si="0"/>
        <v>1469.8892999986099</v>
      </c>
    </row>
    <row r="61" spans="1:7" x14ac:dyDescent="0.35">
      <c r="A61" s="1" t="s">
        <v>16</v>
      </c>
      <c r="B61" s="1" t="s">
        <v>10</v>
      </c>
      <c r="C61" s="1" t="s">
        <v>11</v>
      </c>
      <c r="D61" s="1" t="s">
        <v>11</v>
      </c>
      <c r="E61" s="1">
        <v>1</v>
      </c>
      <c r="F61" s="1">
        <v>2.04374429999916</v>
      </c>
      <c r="G61" s="1">
        <f t="shared" si="0"/>
        <v>2043.7442999991599</v>
      </c>
    </row>
    <row r="62" spans="1:7" x14ac:dyDescent="0.35">
      <c r="A62" s="1" t="s">
        <v>28</v>
      </c>
      <c r="B62" s="1" t="s">
        <v>10</v>
      </c>
      <c r="C62" s="1" t="s">
        <v>11</v>
      </c>
      <c r="D62" s="1" t="s">
        <v>11</v>
      </c>
      <c r="E62" s="1">
        <v>1</v>
      </c>
      <c r="F62" s="1">
        <v>1.04314199999862</v>
      </c>
      <c r="G62" s="1">
        <f t="shared" si="0"/>
        <v>1043.1419999986199</v>
      </c>
    </row>
    <row r="63" spans="1:7" x14ac:dyDescent="0.35">
      <c r="A63" s="1" t="s">
        <v>22</v>
      </c>
      <c r="B63" s="1" t="s">
        <v>7</v>
      </c>
      <c r="C63" s="1" t="s">
        <v>8</v>
      </c>
      <c r="D63" s="1" t="s">
        <v>8</v>
      </c>
      <c r="E63" s="1">
        <v>1</v>
      </c>
      <c r="F63" s="1">
        <v>0.55119980000017599</v>
      </c>
      <c r="G63" s="1">
        <f t="shared" si="0"/>
        <v>551.19980000017597</v>
      </c>
    </row>
    <row r="64" spans="1:7" x14ac:dyDescent="0.35">
      <c r="A64" s="1" t="s">
        <v>21</v>
      </c>
      <c r="B64" s="1" t="s">
        <v>10</v>
      </c>
      <c r="C64" s="1" t="s">
        <v>11</v>
      </c>
      <c r="D64" s="1" t="s">
        <v>11</v>
      </c>
      <c r="E64" s="1">
        <v>1</v>
      </c>
      <c r="F64" s="1">
        <v>0.90409109999927695</v>
      </c>
      <c r="G64" s="1">
        <f t="shared" si="0"/>
        <v>904.09109999927693</v>
      </c>
    </row>
    <row r="65" spans="1:7" x14ac:dyDescent="0.35">
      <c r="A65" s="1" t="s">
        <v>17</v>
      </c>
      <c r="B65" s="1" t="s">
        <v>10</v>
      </c>
      <c r="C65" s="1" t="s">
        <v>11</v>
      </c>
      <c r="D65" s="1" t="s">
        <v>11</v>
      </c>
      <c r="E65" s="1">
        <v>1</v>
      </c>
      <c r="F65" s="1">
        <v>2.7624847999995801</v>
      </c>
      <c r="G65" s="1">
        <f t="shared" si="0"/>
        <v>2762.48479999958</v>
      </c>
    </row>
    <row r="66" spans="1:7" x14ac:dyDescent="0.35">
      <c r="A66" s="1" t="s">
        <v>12</v>
      </c>
      <c r="B66" s="1" t="s">
        <v>7</v>
      </c>
      <c r="C66" s="1" t="s">
        <v>8</v>
      </c>
      <c r="D66" s="1" t="s">
        <v>8</v>
      </c>
      <c r="E66" s="1">
        <v>1</v>
      </c>
      <c r="F66" s="1">
        <v>0.786669499999334</v>
      </c>
      <c r="G66" s="1">
        <f t="shared" si="0"/>
        <v>786.66949999933399</v>
      </c>
    </row>
    <row r="67" spans="1:7" x14ac:dyDescent="0.35">
      <c r="A67" s="1" t="s">
        <v>29</v>
      </c>
      <c r="B67" s="1" t="s">
        <v>7</v>
      </c>
      <c r="C67" s="1" t="s">
        <v>8</v>
      </c>
      <c r="D67" s="1" t="s">
        <v>8</v>
      </c>
      <c r="E67" s="1">
        <v>1</v>
      </c>
      <c r="F67" s="1">
        <v>0.76274000000012099</v>
      </c>
      <c r="G67" s="1">
        <f t="shared" ref="G67:G130" si="1">F67*1000</f>
        <v>762.74000000012097</v>
      </c>
    </row>
    <row r="68" spans="1:7" x14ac:dyDescent="0.35">
      <c r="A68" s="1" t="s">
        <v>20</v>
      </c>
      <c r="B68" s="1" t="s">
        <v>10</v>
      </c>
      <c r="C68" s="1" t="s">
        <v>11</v>
      </c>
      <c r="D68" s="1" t="s">
        <v>11</v>
      </c>
      <c r="E68" s="1">
        <v>1</v>
      </c>
      <c r="F68" s="1">
        <v>1.59228289999919</v>
      </c>
      <c r="G68" s="1">
        <f t="shared" si="1"/>
        <v>1592.28289999919</v>
      </c>
    </row>
    <row r="69" spans="1:7" x14ac:dyDescent="0.35">
      <c r="A69" s="1" t="s">
        <v>14</v>
      </c>
      <c r="B69" s="1" t="s">
        <v>10</v>
      </c>
      <c r="C69" s="1" t="s">
        <v>11</v>
      </c>
      <c r="D69" s="1" t="s">
        <v>11</v>
      </c>
      <c r="E69" s="1">
        <v>1</v>
      </c>
      <c r="F69" s="1">
        <v>1.5335828999996</v>
      </c>
      <c r="G69" s="1">
        <f t="shared" si="1"/>
        <v>1533.5828999995999</v>
      </c>
    </row>
    <row r="70" spans="1:7" x14ac:dyDescent="0.35">
      <c r="A70" s="1" t="s">
        <v>19</v>
      </c>
      <c r="B70" s="1" t="s">
        <v>7</v>
      </c>
      <c r="C70" s="1" t="s">
        <v>8</v>
      </c>
      <c r="D70" s="1" t="s">
        <v>8</v>
      </c>
      <c r="E70" s="1">
        <v>1</v>
      </c>
      <c r="F70" s="1">
        <v>0.50599729999885301</v>
      </c>
      <c r="G70" s="1">
        <f t="shared" si="1"/>
        <v>505.99729999885301</v>
      </c>
    </row>
    <row r="71" spans="1:7" x14ac:dyDescent="0.35">
      <c r="A71" s="1" t="s">
        <v>15</v>
      </c>
      <c r="B71" s="1" t="s">
        <v>7</v>
      </c>
      <c r="C71" s="1" t="s">
        <v>8</v>
      </c>
      <c r="D71" s="1" t="s">
        <v>8</v>
      </c>
      <c r="E71" s="1">
        <v>1</v>
      </c>
      <c r="F71" s="1">
        <v>0.39344280000113901</v>
      </c>
      <c r="G71" s="1">
        <f t="shared" si="1"/>
        <v>393.44280000113901</v>
      </c>
    </row>
    <row r="72" spans="1:7" x14ac:dyDescent="0.35">
      <c r="A72" s="1" t="s">
        <v>27</v>
      </c>
      <c r="B72" s="1" t="s">
        <v>7</v>
      </c>
      <c r="C72" s="1" t="s">
        <v>8</v>
      </c>
      <c r="D72" s="1" t="s">
        <v>8</v>
      </c>
      <c r="E72" s="1">
        <v>1</v>
      </c>
      <c r="F72" s="1">
        <v>0.45885230000021598</v>
      </c>
      <c r="G72" s="1">
        <f t="shared" si="1"/>
        <v>458.85230000021596</v>
      </c>
    </row>
    <row r="73" spans="1:7" x14ac:dyDescent="0.35">
      <c r="A73" s="1" t="s">
        <v>23</v>
      </c>
      <c r="B73" s="1" t="s">
        <v>10</v>
      </c>
      <c r="C73" s="1" t="s">
        <v>11</v>
      </c>
      <c r="D73" s="1" t="s">
        <v>8</v>
      </c>
      <c r="E73" s="1">
        <v>0</v>
      </c>
      <c r="F73" s="1">
        <v>1.4362835000010801</v>
      </c>
      <c r="G73" s="1">
        <f t="shared" si="1"/>
        <v>1436.28350000108</v>
      </c>
    </row>
    <row r="74" spans="1:7" x14ac:dyDescent="0.35">
      <c r="A74" s="1" t="s">
        <v>26</v>
      </c>
      <c r="B74" s="1" t="s">
        <v>10</v>
      </c>
      <c r="C74" s="1" t="s">
        <v>11</v>
      </c>
      <c r="D74" s="1" t="s">
        <v>11</v>
      </c>
      <c r="E74" s="1">
        <v>1</v>
      </c>
      <c r="F74" s="1">
        <v>1.0849667000002201</v>
      </c>
      <c r="G74" s="1">
        <f t="shared" si="1"/>
        <v>1084.96670000022</v>
      </c>
    </row>
    <row r="75" spans="1:7" x14ac:dyDescent="0.35">
      <c r="A75" s="1" t="s">
        <v>25</v>
      </c>
      <c r="B75" s="1" t="s">
        <v>10</v>
      </c>
      <c r="C75" s="1" t="s">
        <v>11</v>
      </c>
      <c r="D75" s="1" t="s">
        <v>8</v>
      </c>
      <c r="E75" s="1">
        <v>0</v>
      </c>
      <c r="F75" s="1">
        <v>1.48193929999979</v>
      </c>
      <c r="G75" s="1">
        <f t="shared" si="1"/>
        <v>1481.9392999997899</v>
      </c>
    </row>
    <row r="76" spans="1:7" x14ac:dyDescent="0.35">
      <c r="A76" s="1" t="s">
        <v>24</v>
      </c>
      <c r="B76" s="1" t="s">
        <v>7</v>
      </c>
      <c r="C76" s="1" t="s">
        <v>8</v>
      </c>
      <c r="D76" s="1" t="s">
        <v>8</v>
      </c>
      <c r="E76" s="1">
        <v>1</v>
      </c>
      <c r="F76" s="1">
        <v>0.65761070000007704</v>
      </c>
      <c r="G76" s="1">
        <f t="shared" si="1"/>
        <v>657.61070000007703</v>
      </c>
    </row>
    <row r="77" spans="1:7" x14ac:dyDescent="0.35">
      <c r="A77" s="1" t="s">
        <v>16</v>
      </c>
      <c r="B77" s="1" t="s">
        <v>10</v>
      </c>
      <c r="C77" s="1" t="s">
        <v>11</v>
      </c>
      <c r="D77" s="1" t="s">
        <v>8</v>
      </c>
      <c r="E77" s="1">
        <v>0</v>
      </c>
      <c r="F77" s="1">
        <v>0.58051429999977699</v>
      </c>
      <c r="G77" s="1">
        <f t="shared" si="1"/>
        <v>580.51429999977699</v>
      </c>
    </row>
    <row r="78" spans="1:7" x14ac:dyDescent="0.35">
      <c r="A78" s="1" t="s">
        <v>13</v>
      </c>
      <c r="B78" s="1" t="s">
        <v>7</v>
      </c>
      <c r="C78" s="1" t="s">
        <v>8</v>
      </c>
      <c r="D78" s="1" t="s">
        <v>8</v>
      </c>
      <c r="E78" s="1">
        <v>1</v>
      </c>
      <c r="F78" s="1">
        <v>0.51970380000057004</v>
      </c>
      <c r="G78" s="1">
        <f t="shared" si="1"/>
        <v>519.70380000057003</v>
      </c>
    </row>
    <row r="79" spans="1:7" x14ac:dyDescent="0.35">
      <c r="A79" s="1" t="s">
        <v>9</v>
      </c>
      <c r="B79" s="1" t="s">
        <v>10</v>
      </c>
      <c r="C79" s="1" t="s">
        <v>11</v>
      </c>
      <c r="D79" s="1" t="s">
        <v>11</v>
      </c>
      <c r="E79" s="1">
        <v>1</v>
      </c>
      <c r="F79" s="1">
        <v>0.94181690000004803</v>
      </c>
      <c r="G79" s="1">
        <f t="shared" si="1"/>
        <v>941.81690000004801</v>
      </c>
    </row>
    <row r="80" spans="1:7" x14ac:dyDescent="0.35">
      <c r="A80" s="1" t="s">
        <v>6</v>
      </c>
      <c r="B80" s="1" t="s">
        <v>7</v>
      </c>
      <c r="C80" s="1" t="s">
        <v>8</v>
      </c>
      <c r="D80" s="1" t="s">
        <v>8</v>
      </c>
      <c r="E80" s="1">
        <v>1</v>
      </c>
      <c r="F80" s="1">
        <v>2.5865087000001901</v>
      </c>
      <c r="G80" s="1">
        <f t="shared" si="1"/>
        <v>2586.5087000001899</v>
      </c>
    </row>
    <row r="81" spans="1:7" x14ac:dyDescent="0.35">
      <c r="A81" s="1" t="s">
        <v>18</v>
      </c>
      <c r="B81" s="1" t="s">
        <v>7</v>
      </c>
      <c r="C81" s="1" t="s">
        <v>8</v>
      </c>
      <c r="D81" s="1" t="s">
        <v>8</v>
      </c>
      <c r="E81" s="1">
        <v>1</v>
      </c>
      <c r="F81" s="1">
        <v>0.57530849999966405</v>
      </c>
      <c r="G81" s="1">
        <f t="shared" si="1"/>
        <v>575.30849999966404</v>
      </c>
    </row>
    <row r="82" spans="1:7" x14ac:dyDescent="0.35">
      <c r="A82" s="1" t="s">
        <v>21</v>
      </c>
      <c r="B82" s="1" t="s">
        <v>10</v>
      </c>
      <c r="C82" s="1" t="s">
        <v>11</v>
      </c>
      <c r="D82" s="1" t="s">
        <v>11</v>
      </c>
      <c r="E82" s="1">
        <v>1</v>
      </c>
      <c r="F82" s="1">
        <v>0.93271260000074097</v>
      </c>
      <c r="G82" s="1">
        <f t="shared" si="1"/>
        <v>932.71260000074096</v>
      </c>
    </row>
    <row r="83" spans="1:7" x14ac:dyDescent="0.35">
      <c r="A83" s="1" t="s">
        <v>14</v>
      </c>
      <c r="B83" s="1" t="s">
        <v>10</v>
      </c>
      <c r="C83" s="1" t="s">
        <v>11</v>
      </c>
      <c r="D83" s="1" t="s">
        <v>11</v>
      </c>
      <c r="E83" s="1">
        <v>1</v>
      </c>
      <c r="F83" s="1">
        <v>1.1982353000003001</v>
      </c>
      <c r="G83" s="1">
        <f t="shared" si="1"/>
        <v>1198.2353000003002</v>
      </c>
    </row>
    <row r="84" spans="1:7" x14ac:dyDescent="0.35">
      <c r="A84" s="1" t="s">
        <v>6</v>
      </c>
      <c r="B84" s="1" t="s">
        <v>7</v>
      </c>
      <c r="C84" s="1" t="s">
        <v>8</v>
      </c>
      <c r="D84" s="1" t="s">
        <v>8</v>
      </c>
      <c r="E84" s="1">
        <v>1</v>
      </c>
      <c r="F84" s="1">
        <v>0.69303279999985501</v>
      </c>
      <c r="G84" s="1">
        <f t="shared" si="1"/>
        <v>693.032799999855</v>
      </c>
    </row>
    <row r="85" spans="1:7" x14ac:dyDescent="0.35">
      <c r="A85" s="1" t="s">
        <v>22</v>
      </c>
      <c r="B85" s="1" t="s">
        <v>7</v>
      </c>
      <c r="C85" s="1" t="s">
        <v>8</v>
      </c>
      <c r="D85" s="1" t="s">
        <v>8</v>
      </c>
      <c r="E85" s="1">
        <v>1</v>
      </c>
      <c r="F85" s="1">
        <v>1.6649223999993401</v>
      </c>
      <c r="G85" s="1">
        <f t="shared" si="1"/>
        <v>1664.9223999993401</v>
      </c>
    </row>
    <row r="86" spans="1:7" x14ac:dyDescent="0.35">
      <c r="A86" s="1" t="s">
        <v>19</v>
      </c>
      <c r="B86" s="1" t="s">
        <v>7</v>
      </c>
      <c r="C86" s="1" t="s">
        <v>8</v>
      </c>
      <c r="D86" s="1" t="s">
        <v>8</v>
      </c>
      <c r="E86" s="1">
        <v>1</v>
      </c>
      <c r="F86" s="1">
        <v>0.91157009999915295</v>
      </c>
      <c r="G86" s="1">
        <f t="shared" si="1"/>
        <v>911.57009999915294</v>
      </c>
    </row>
    <row r="87" spans="1:7" x14ac:dyDescent="0.35">
      <c r="A87" s="1" t="s">
        <v>24</v>
      </c>
      <c r="B87" s="1" t="s">
        <v>7</v>
      </c>
      <c r="C87" s="1" t="s">
        <v>8</v>
      </c>
      <c r="D87" s="1" t="s">
        <v>8</v>
      </c>
      <c r="E87" s="1">
        <v>1</v>
      </c>
      <c r="F87" s="1">
        <v>0.56570569999894305</v>
      </c>
      <c r="G87" s="1">
        <f t="shared" si="1"/>
        <v>565.70569999894303</v>
      </c>
    </row>
    <row r="88" spans="1:7" x14ac:dyDescent="0.35">
      <c r="A88" s="1" t="s">
        <v>25</v>
      </c>
      <c r="B88" s="1" t="s">
        <v>10</v>
      </c>
      <c r="C88" s="1" t="s">
        <v>11</v>
      </c>
      <c r="D88" s="1" t="s">
        <v>8</v>
      </c>
      <c r="E88" s="1">
        <v>0</v>
      </c>
      <c r="F88" s="1">
        <v>1.43715540000084</v>
      </c>
      <c r="G88" s="1">
        <f t="shared" si="1"/>
        <v>1437.15540000084</v>
      </c>
    </row>
    <row r="89" spans="1:7" x14ac:dyDescent="0.35">
      <c r="A89" s="1" t="s">
        <v>27</v>
      </c>
      <c r="B89" s="1" t="s">
        <v>7</v>
      </c>
      <c r="C89" s="1" t="s">
        <v>8</v>
      </c>
      <c r="D89" s="1" t="s">
        <v>8</v>
      </c>
      <c r="E89" s="1">
        <v>1</v>
      </c>
      <c r="F89" s="1">
        <v>3.91954740000073</v>
      </c>
      <c r="G89" s="1">
        <f t="shared" si="1"/>
        <v>3919.5474000007298</v>
      </c>
    </row>
    <row r="90" spans="1:7" x14ac:dyDescent="0.35">
      <c r="A90" s="1" t="s">
        <v>23</v>
      </c>
      <c r="B90" s="1" t="s">
        <v>10</v>
      </c>
      <c r="C90" s="1" t="s">
        <v>11</v>
      </c>
      <c r="D90" s="1" t="s">
        <v>11</v>
      </c>
      <c r="E90" s="1">
        <v>1</v>
      </c>
      <c r="F90" s="1">
        <v>1.7310847999997301</v>
      </c>
      <c r="G90" s="1">
        <f t="shared" si="1"/>
        <v>1731.0847999997302</v>
      </c>
    </row>
    <row r="91" spans="1:7" x14ac:dyDescent="0.35">
      <c r="A91" s="1" t="s">
        <v>16</v>
      </c>
      <c r="B91" s="1" t="s">
        <v>10</v>
      </c>
      <c r="C91" s="1" t="s">
        <v>11</v>
      </c>
      <c r="D91" s="1" t="s">
        <v>8</v>
      </c>
      <c r="E91" s="1">
        <v>0</v>
      </c>
      <c r="F91" s="1">
        <v>3.2729546999999002</v>
      </c>
      <c r="G91" s="1">
        <f t="shared" si="1"/>
        <v>3272.9546999999002</v>
      </c>
    </row>
    <row r="92" spans="1:7" x14ac:dyDescent="0.35">
      <c r="A92" s="1" t="s">
        <v>26</v>
      </c>
      <c r="B92" s="1" t="s">
        <v>10</v>
      </c>
      <c r="C92" s="1" t="s">
        <v>11</v>
      </c>
      <c r="D92" s="1" t="s">
        <v>11</v>
      </c>
      <c r="E92" s="1">
        <v>1</v>
      </c>
      <c r="F92" s="1">
        <v>1.1360657000004699</v>
      </c>
      <c r="G92" s="1">
        <f t="shared" si="1"/>
        <v>1136.0657000004699</v>
      </c>
    </row>
    <row r="93" spans="1:7" x14ac:dyDescent="0.35">
      <c r="A93" s="1" t="s">
        <v>12</v>
      </c>
      <c r="B93" s="1" t="s">
        <v>7</v>
      </c>
      <c r="C93" s="1" t="s">
        <v>8</v>
      </c>
      <c r="D93" s="1" t="s">
        <v>8</v>
      </c>
      <c r="E93" s="1">
        <v>1</v>
      </c>
      <c r="F93" s="1">
        <v>1.3512546000001699</v>
      </c>
      <c r="G93" s="1">
        <f t="shared" si="1"/>
        <v>1351.2546000001701</v>
      </c>
    </row>
    <row r="94" spans="1:7" x14ac:dyDescent="0.35">
      <c r="A94" s="1" t="s">
        <v>29</v>
      </c>
      <c r="B94" s="1" t="s">
        <v>7</v>
      </c>
      <c r="C94" s="1" t="s">
        <v>8</v>
      </c>
      <c r="D94" s="1" t="s">
        <v>8</v>
      </c>
      <c r="E94" s="1">
        <v>1</v>
      </c>
      <c r="F94" s="1">
        <v>2.2825011000004398</v>
      </c>
      <c r="G94" s="1">
        <f t="shared" si="1"/>
        <v>2282.5011000004397</v>
      </c>
    </row>
    <row r="95" spans="1:7" x14ac:dyDescent="0.35">
      <c r="A95" s="1" t="s">
        <v>18</v>
      </c>
      <c r="B95" s="1" t="s">
        <v>7</v>
      </c>
      <c r="C95" s="1" t="s">
        <v>8</v>
      </c>
      <c r="D95" s="1" t="s">
        <v>8</v>
      </c>
      <c r="E95" s="1">
        <v>1</v>
      </c>
      <c r="F95" s="1">
        <v>0.49854599999889598</v>
      </c>
      <c r="G95" s="1">
        <f t="shared" si="1"/>
        <v>498.54599999889598</v>
      </c>
    </row>
    <row r="96" spans="1:7" x14ac:dyDescent="0.35">
      <c r="A96" s="1" t="s">
        <v>17</v>
      </c>
      <c r="B96" s="1" t="s">
        <v>10</v>
      </c>
      <c r="C96" s="1" t="s">
        <v>11</v>
      </c>
      <c r="D96" s="1" t="s">
        <v>11</v>
      </c>
      <c r="E96" s="1">
        <v>1</v>
      </c>
      <c r="F96" s="1">
        <v>2.91591119999975</v>
      </c>
      <c r="G96" s="1">
        <f t="shared" si="1"/>
        <v>2915.9111999997499</v>
      </c>
    </row>
    <row r="97" spans="1:7" x14ac:dyDescent="0.35">
      <c r="A97" s="1" t="s">
        <v>15</v>
      </c>
      <c r="B97" s="1" t="s">
        <v>7</v>
      </c>
      <c r="C97" s="1" t="s">
        <v>8</v>
      </c>
      <c r="D97" s="1" t="s">
        <v>8</v>
      </c>
      <c r="E97" s="1">
        <v>1</v>
      </c>
      <c r="F97" s="1">
        <v>0.62078199999996198</v>
      </c>
      <c r="G97" s="1">
        <f t="shared" si="1"/>
        <v>620.78199999996195</v>
      </c>
    </row>
    <row r="98" spans="1:7" x14ac:dyDescent="0.35">
      <c r="A98" s="1" t="s">
        <v>9</v>
      </c>
      <c r="B98" s="1" t="s">
        <v>10</v>
      </c>
      <c r="C98" s="1" t="s">
        <v>11</v>
      </c>
      <c r="D98" s="1" t="s">
        <v>8</v>
      </c>
      <c r="E98" s="1">
        <v>0</v>
      </c>
      <c r="F98" s="1">
        <v>1.37377569999989</v>
      </c>
      <c r="G98" s="1">
        <f t="shared" si="1"/>
        <v>1373.7756999998901</v>
      </c>
    </row>
    <row r="99" spans="1:7" x14ac:dyDescent="0.35">
      <c r="A99" s="1" t="s">
        <v>28</v>
      </c>
      <c r="B99" s="1" t="s">
        <v>10</v>
      </c>
      <c r="C99" s="1" t="s">
        <v>11</v>
      </c>
      <c r="D99" s="1" t="s">
        <v>11</v>
      </c>
      <c r="E99" s="1">
        <v>1</v>
      </c>
      <c r="F99" s="1">
        <v>1.4308106000007601</v>
      </c>
      <c r="G99" s="1">
        <f t="shared" si="1"/>
        <v>1430.8106000007601</v>
      </c>
    </row>
    <row r="100" spans="1:7" x14ac:dyDescent="0.35">
      <c r="A100" s="1" t="s">
        <v>13</v>
      </c>
      <c r="B100" s="1" t="s">
        <v>7</v>
      </c>
      <c r="C100" s="1" t="s">
        <v>8</v>
      </c>
      <c r="D100" s="1" t="s">
        <v>8</v>
      </c>
      <c r="E100" s="1">
        <v>1</v>
      </c>
      <c r="F100" s="1">
        <v>0.52355639999950598</v>
      </c>
      <c r="G100" s="1">
        <f t="shared" si="1"/>
        <v>523.55639999950597</v>
      </c>
    </row>
    <row r="101" spans="1:7" x14ac:dyDescent="0.35">
      <c r="A101" s="1" t="s">
        <v>20</v>
      </c>
      <c r="B101" s="1" t="s">
        <v>10</v>
      </c>
      <c r="C101" s="1" t="s">
        <v>11</v>
      </c>
      <c r="D101" s="1" t="s">
        <v>11</v>
      </c>
      <c r="E101" s="1">
        <v>1</v>
      </c>
      <c r="F101" s="1">
        <v>1.8185255000007601</v>
      </c>
      <c r="G101" s="1">
        <f t="shared" si="1"/>
        <v>1818.5255000007601</v>
      </c>
    </row>
    <row r="102" spans="1:7" x14ac:dyDescent="0.35">
      <c r="A102" s="1" t="s">
        <v>18</v>
      </c>
      <c r="B102" s="1" t="s">
        <v>7</v>
      </c>
      <c r="C102" s="1" t="s">
        <v>8</v>
      </c>
      <c r="D102" s="1" t="s">
        <v>8</v>
      </c>
      <c r="E102" s="1">
        <v>1</v>
      </c>
      <c r="F102" s="1">
        <v>0.47211950000018899</v>
      </c>
      <c r="G102" s="1">
        <f t="shared" si="1"/>
        <v>472.11950000018896</v>
      </c>
    </row>
    <row r="103" spans="1:7" x14ac:dyDescent="0.35">
      <c r="A103" s="1" t="s">
        <v>9</v>
      </c>
      <c r="B103" s="1" t="s">
        <v>10</v>
      </c>
      <c r="C103" s="1" t="s">
        <v>11</v>
      </c>
      <c r="D103" s="1" t="s">
        <v>11</v>
      </c>
      <c r="E103" s="1">
        <v>1</v>
      </c>
      <c r="F103" s="1">
        <v>1.3519798999986901</v>
      </c>
      <c r="G103" s="1">
        <f t="shared" si="1"/>
        <v>1351.9798999986901</v>
      </c>
    </row>
    <row r="104" spans="1:7" x14ac:dyDescent="0.35">
      <c r="A104" s="1" t="s">
        <v>29</v>
      </c>
      <c r="B104" s="1" t="s">
        <v>7</v>
      </c>
      <c r="C104" s="1" t="s">
        <v>8</v>
      </c>
      <c r="D104" s="1" t="s">
        <v>8</v>
      </c>
      <c r="E104" s="1">
        <v>1</v>
      </c>
      <c r="F104" s="1">
        <v>0.49001580000003703</v>
      </c>
      <c r="G104" s="1">
        <f t="shared" si="1"/>
        <v>490.01580000003702</v>
      </c>
    </row>
    <row r="105" spans="1:7" x14ac:dyDescent="0.35">
      <c r="A105" s="1" t="s">
        <v>14</v>
      </c>
      <c r="B105" s="1" t="s">
        <v>10</v>
      </c>
      <c r="C105" s="1" t="s">
        <v>11</v>
      </c>
      <c r="D105" s="1" t="s">
        <v>11</v>
      </c>
      <c r="E105" s="1">
        <v>1</v>
      </c>
      <c r="F105" s="1">
        <v>2.1460635000003001</v>
      </c>
      <c r="G105" s="1">
        <f t="shared" si="1"/>
        <v>2146.0635000002999</v>
      </c>
    </row>
    <row r="106" spans="1:7" x14ac:dyDescent="0.35">
      <c r="A106" s="1" t="s">
        <v>12</v>
      </c>
      <c r="B106" s="1" t="s">
        <v>7</v>
      </c>
      <c r="C106" s="1" t="s">
        <v>8</v>
      </c>
      <c r="D106" s="1" t="s">
        <v>8</v>
      </c>
      <c r="E106" s="1">
        <v>1</v>
      </c>
      <c r="F106" s="1">
        <v>0.531530999998722</v>
      </c>
      <c r="G106" s="1">
        <f t="shared" si="1"/>
        <v>531.530999998722</v>
      </c>
    </row>
    <row r="107" spans="1:7" x14ac:dyDescent="0.35">
      <c r="A107" s="1" t="s">
        <v>6</v>
      </c>
      <c r="B107" s="1" t="s">
        <v>7</v>
      </c>
      <c r="C107" s="1" t="s">
        <v>8</v>
      </c>
      <c r="D107" s="1" t="s">
        <v>8</v>
      </c>
      <c r="E107" s="1">
        <v>1</v>
      </c>
      <c r="F107" s="1">
        <v>0.395660399999542</v>
      </c>
      <c r="G107" s="1">
        <f t="shared" si="1"/>
        <v>395.66039999954199</v>
      </c>
    </row>
    <row r="108" spans="1:7" x14ac:dyDescent="0.35">
      <c r="A108" s="1" t="s">
        <v>13</v>
      </c>
      <c r="B108" s="1" t="s">
        <v>7</v>
      </c>
      <c r="C108" s="1" t="s">
        <v>8</v>
      </c>
      <c r="D108" s="1" t="s">
        <v>8</v>
      </c>
      <c r="E108" s="1">
        <v>1</v>
      </c>
      <c r="F108" s="1">
        <v>0.386108199998489</v>
      </c>
      <c r="G108" s="1">
        <f t="shared" si="1"/>
        <v>386.108199998489</v>
      </c>
    </row>
    <row r="109" spans="1:7" x14ac:dyDescent="0.35">
      <c r="A109" s="1" t="s">
        <v>19</v>
      </c>
      <c r="B109" s="1" t="s">
        <v>7</v>
      </c>
      <c r="C109" s="1" t="s">
        <v>8</v>
      </c>
      <c r="D109" s="1" t="s">
        <v>8</v>
      </c>
      <c r="E109" s="1">
        <v>1</v>
      </c>
      <c r="F109" s="1">
        <v>0.38516160000108302</v>
      </c>
      <c r="G109" s="1">
        <f t="shared" si="1"/>
        <v>385.161600001083</v>
      </c>
    </row>
    <row r="110" spans="1:7" x14ac:dyDescent="0.35">
      <c r="A110" s="1" t="s">
        <v>24</v>
      </c>
      <c r="B110" s="1" t="s">
        <v>7</v>
      </c>
      <c r="C110" s="1" t="s">
        <v>8</v>
      </c>
      <c r="D110" s="1" t="s">
        <v>8</v>
      </c>
      <c r="E110" s="1">
        <v>1</v>
      </c>
      <c r="F110" s="1">
        <v>0.40293110000129601</v>
      </c>
      <c r="G110" s="1">
        <f t="shared" si="1"/>
        <v>402.93110000129599</v>
      </c>
    </row>
    <row r="111" spans="1:7" x14ac:dyDescent="0.35">
      <c r="A111" s="1" t="s">
        <v>27</v>
      </c>
      <c r="B111" s="1" t="s">
        <v>7</v>
      </c>
      <c r="C111" s="1" t="s">
        <v>8</v>
      </c>
      <c r="D111" s="1" t="s">
        <v>8</v>
      </c>
      <c r="E111" s="1">
        <v>1</v>
      </c>
      <c r="F111" s="1">
        <v>0.42777619999833399</v>
      </c>
      <c r="G111" s="1">
        <f t="shared" si="1"/>
        <v>427.77619999833399</v>
      </c>
    </row>
    <row r="112" spans="1:7" x14ac:dyDescent="0.35">
      <c r="A112" s="1" t="s">
        <v>15</v>
      </c>
      <c r="B112" s="1" t="s">
        <v>7</v>
      </c>
      <c r="C112" s="1" t="s">
        <v>8</v>
      </c>
      <c r="D112" s="1" t="s">
        <v>8</v>
      </c>
      <c r="E112" s="1">
        <v>1</v>
      </c>
      <c r="F112" s="1">
        <v>0.39845489999970501</v>
      </c>
      <c r="G112" s="1">
        <f t="shared" si="1"/>
        <v>398.45489999970499</v>
      </c>
    </row>
    <row r="113" spans="1:7" x14ac:dyDescent="0.35">
      <c r="A113" s="1" t="s">
        <v>21</v>
      </c>
      <c r="B113" s="1" t="s">
        <v>10</v>
      </c>
      <c r="C113" s="1" t="s">
        <v>11</v>
      </c>
      <c r="D113" s="1" t="s">
        <v>11</v>
      </c>
      <c r="E113" s="1">
        <v>1</v>
      </c>
      <c r="F113" s="1">
        <v>1.3064329000007999</v>
      </c>
      <c r="G113" s="1">
        <f t="shared" si="1"/>
        <v>1306.4329000007999</v>
      </c>
    </row>
    <row r="114" spans="1:7" x14ac:dyDescent="0.35">
      <c r="A114" s="1" t="s">
        <v>22</v>
      </c>
      <c r="B114" s="1" t="s">
        <v>7</v>
      </c>
      <c r="C114" s="1" t="s">
        <v>8</v>
      </c>
      <c r="D114" s="1" t="s">
        <v>8</v>
      </c>
      <c r="E114" s="1">
        <v>1</v>
      </c>
      <c r="F114" s="1">
        <v>0.52437819999977298</v>
      </c>
      <c r="G114" s="1">
        <f t="shared" si="1"/>
        <v>524.37819999977296</v>
      </c>
    </row>
    <row r="115" spans="1:7" x14ac:dyDescent="0.35">
      <c r="A115" s="1" t="s">
        <v>28</v>
      </c>
      <c r="B115" s="1" t="s">
        <v>10</v>
      </c>
      <c r="C115" s="1" t="s">
        <v>11</v>
      </c>
      <c r="D115" s="1" t="s">
        <v>11</v>
      </c>
      <c r="E115" s="1">
        <v>1</v>
      </c>
      <c r="F115" s="1">
        <v>1.0932238999994199</v>
      </c>
      <c r="G115" s="1">
        <f t="shared" si="1"/>
        <v>1093.2238999994199</v>
      </c>
    </row>
    <row r="116" spans="1:7" x14ac:dyDescent="0.35">
      <c r="A116" s="1" t="s">
        <v>17</v>
      </c>
      <c r="B116" s="1" t="s">
        <v>10</v>
      </c>
      <c r="C116" s="1" t="s">
        <v>11</v>
      </c>
      <c r="D116" s="1" t="s">
        <v>8</v>
      </c>
      <c r="E116" s="1">
        <v>0</v>
      </c>
      <c r="F116" s="1">
        <v>1.69184549999954</v>
      </c>
      <c r="G116" s="1">
        <f t="shared" si="1"/>
        <v>1691.8454999995399</v>
      </c>
    </row>
    <row r="117" spans="1:7" x14ac:dyDescent="0.35">
      <c r="A117" s="1" t="s">
        <v>20</v>
      </c>
      <c r="B117" s="1" t="s">
        <v>10</v>
      </c>
      <c r="C117" s="1" t="s">
        <v>11</v>
      </c>
      <c r="D117" s="1" t="s">
        <v>11</v>
      </c>
      <c r="E117" s="1">
        <v>1</v>
      </c>
      <c r="F117" s="1">
        <v>2.2234258999997101</v>
      </c>
      <c r="G117" s="1">
        <f t="shared" si="1"/>
        <v>2223.4258999997101</v>
      </c>
    </row>
    <row r="118" spans="1:7" x14ac:dyDescent="0.35">
      <c r="A118" s="1" t="s">
        <v>23</v>
      </c>
      <c r="B118" s="1" t="s">
        <v>10</v>
      </c>
      <c r="C118" s="1" t="s">
        <v>11</v>
      </c>
      <c r="D118" s="1" t="s">
        <v>8</v>
      </c>
      <c r="E118" s="1">
        <v>0</v>
      </c>
      <c r="F118" s="1">
        <v>0.58479210000041304</v>
      </c>
      <c r="G118" s="1">
        <f t="shared" si="1"/>
        <v>584.79210000041303</v>
      </c>
    </row>
    <row r="119" spans="1:7" x14ac:dyDescent="0.35">
      <c r="A119" s="1" t="s">
        <v>25</v>
      </c>
      <c r="B119" s="1" t="s">
        <v>10</v>
      </c>
      <c r="C119" s="1" t="s">
        <v>11</v>
      </c>
      <c r="D119" s="1" t="s">
        <v>8</v>
      </c>
      <c r="E119" s="1">
        <v>0</v>
      </c>
      <c r="F119" s="1">
        <v>1.2723506000002001</v>
      </c>
      <c r="G119" s="1">
        <f t="shared" si="1"/>
        <v>1272.3506000002001</v>
      </c>
    </row>
    <row r="120" spans="1:7" x14ac:dyDescent="0.35">
      <c r="A120" s="1" t="s">
        <v>16</v>
      </c>
      <c r="B120" s="1" t="s">
        <v>10</v>
      </c>
      <c r="C120" s="1" t="s">
        <v>11</v>
      </c>
      <c r="D120" s="1" t="s">
        <v>11</v>
      </c>
      <c r="E120" s="1">
        <v>1</v>
      </c>
      <c r="F120" s="1">
        <v>1.2100025999989099</v>
      </c>
      <c r="G120" s="1">
        <f t="shared" si="1"/>
        <v>1210.00259999891</v>
      </c>
    </row>
    <row r="121" spans="1:7" x14ac:dyDescent="0.35">
      <c r="A121" s="1" t="s">
        <v>26</v>
      </c>
      <c r="B121" s="1" t="s">
        <v>10</v>
      </c>
      <c r="C121" s="1" t="s">
        <v>11</v>
      </c>
      <c r="D121" s="1" t="s">
        <v>11</v>
      </c>
      <c r="E121" s="1">
        <v>1</v>
      </c>
      <c r="F121" s="1">
        <v>3.27409690000058</v>
      </c>
      <c r="G121" s="1">
        <f t="shared" si="1"/>
        <v>3274.0969000005798</v>
      </c>
    </row>
    <row r="122" spans="1:7" x14ac:dyDescent="0.35">
      <c r="A122" s="1" t="s">
        <v>17</v>
      </c>
      <c r="B122" s="1" t="s">
        <v>10</v>
      </c>
      <c r="C122" s="1" t="s">
        <v>11</v>
      </c>
      <c r="D122" s="1" t="s">
        <v>11</v>
      </c>
      <c r="E122" s="1">
        <v>1</v>
      </c>
      <c r="F122" s="1">
        <v>1.58873090000088</v>
      </c>
      <c r="G122" s="1">
        <f t="shared" si="1"/>
        <v>1588.73090000088</v>
      </c>
    </row>
    <row r="123" spans="1:7" x14ac:dyDescent="0.35">
      <c r="A123" s="1" t="s">
        <v>12</v>
      </c>
      <c r="B123" s="1" t="s">
        <v>7</v>
      </c>
      <c r="C123" s="1" t="s">
        <v>8</v>
      </c>
      <c r="D123" s="1" t="s">
        <v>8</v>
      </c>
      <c r="E123" s="1">
        <v>1</v>
      </c>
      <c r="F123" s="1">
        <v>0.60381919999963396</v>
      </c>
      <c r="G123" s="1">
        <f t="shared" si="1"/>
        <v>603.81919999963395</v>
      </c>
    </row>
    <row r="124" spans="1:7" x14ac:dyDescent="0.35">
      <c r="A124" s="1" t="s">
        <v>24</v>
      </c>
      <c r="B124" s="1" t="s">
        <v>7</v>
      </c>
      <c r="C124" s="1" t="s">
        <v>8</v>
      </c>
      <c r="D124" s="1" t="s">
        <v>8</v>
      </c>
      <c r="E124" s="1">
        <v>1</v>
      </c>
      <c r="F124" s="1">
        <v>0.44865260000005902</v>
      </c>
      <c r="G124" s="1">
        <f t="shared" si="1"/>
        <v>448.65260000005901</v>
      </c>
    </row>
    <row r="125" spans="1:7" x14ac:dyDescent="0.35">
      <c r="A125" s="1" t="s">
        <v>21</v>
      </c>
      <c r="B125" s="1" t="s">
        <v>10</v>
      </c>
      <c r="C125" s="1" t="s">
        <v>11</v>
      </c>
      <c r="D125" s="1" t="s">
        <v>8</v>
      </c>
      <c r="E125" s="1">
        <v>0</v>
      </c>
      <c r="F125" s="1">
        <v>0.33217669999976301</v>
      </c>
      <c r="G125" s="1">
        <f t="shared" si="1"/>
        <v>332.176699999763</v>
      </c>
    </row>
    <row r="126" spans="1:7" x14ac:dyDescent="0.35">
      <c r="A126" s="1" t="s">
        <v>16</v>
      </c>
      <c r="B126" s="1" t="s">
        <v>10</v>
      </c>
      <c r="C126" s="1" t="s">
        <v>11</v>
      </c>
      <c r="D126" s="1" t="s">
        <v>8</v>
      </c>
      <c r="E126" s="1">
        <v>0</v>
      </c>
      <c r="F126" s="1">
        <v>0.58571029999984603</v>
      </c>
      <c r="G126" s="1">
        <f t="shared" si="1"/>
        <v>585.71029999984603</v>
      </c>
    </row>
    <row r="127" spans="1:7" x14ac:dyDescent="0.35">
      <c r="A127" s="1" t="s">
        <v>18</v>
      </c>
      <c r="B127" s="1" t="s">
        <v>7</v>
      </c>
      <c r="C127" s="1" t="s">
        <v>8</v>
      </c>
      <c r="D127" s="1" t="s">
        <v>8</v>
      </c>
      <c r="E127" s="1">
        <v>1</v>
      </c>
      <c r="F127" s="1">
        <v>0.54945240000051798</v>
      </c>
      <c r="G127" s="1">
        <f t="shared" si="1"/>
        <v>549.45240000051797</v>
      </c>
    </row>
    <row r="128" spans="1:7" x14ac:dyDescent="0.35">
      <c r="A128" s="1" t="s">
        <v>9</v>
      </c>
      <c r="B128" s="1" t="s">
        <v>10</v>
      </c>
      <c r="C128" s="1" t="s">
        <v>11</v>
      </c>
      <c r="D128" s="1" t="s">
        <v>11</v>
      </c>
      <c r="E128" s="1">
        <v>1</v>
      </c>
      <c r="F128" s="1">
        <v>1.22618330000113</v>
      </c>
      <c r="G128" s="1">
        <f t="shared" si="1"/>
        <v>1226.18330000113</v>
      </c>
    </row>
    <row r="129" spans="1:7" x14ac:dyDescent="0.35">
      <c r="A129" s="1" t="s">
        <v>29</v>
      </c>
      <c r="B129" s="1" t="s">
        <v>7</v>
      </c>
      <c r="C129" s="1" t="s">
        <v>8</v>
      </c>
      <c r="D129" s="1" t="s">
        <v>8</v>
      </c>
      <c r="E129" s="1">
        <v>1</v>
      </c>
      <c r="F129" s="1">
        <v>0.62376649999896405</v>
      </c>
      <c r="G129" s="1">
        <f t="shared" si="1"/>
        <v>623.76649999896404</v>
      </c>
    </row>
    <row r="130" spans="1:7" x14ac:dyDescent="0.35">
      <c r="A130" s="1" t="s">
        <v>13</v>
      </c>
      <c r="B130" s="1" t="s">
        <v>7</v>
      </c>
      <c r="C130" s="1" t="s">
        <v>8</v>
      </c>
      <c r="D130" s="1" t="s">
        <v>8</v>
      </c>
      <c r="E130" s="1">
        <v>1</v>
      </c>
      <c r="F130" s="1">
        <v>0.48327160000008001</v>
      </c>
      <c r="G130" s="1">
        <f t="shared" si="1"/>
        <v>483.27160000008001</v>
      </c>
    </row>
    <row r="131" spans="1:7" x14ac:dyDescent="0.35">
      <c r="A131" s="1" t="s">
        <v>26</v>
      </c>
      <c r="B131" s="1" t="s">
        <v>10</v>
      </c>
      <c r="C131" s="1" t="s">
        <v>11</v>
      </c>
      <c r="D131" s="1" t="s">
        <v>11</v>
      </c>
      <c r="E131" s="1">
        <v>1</v>
      </c>
      <c r="F131" s="1">
        <v>1.96562310000081</v>
      </c>
      <c r="G131" s="1">
        <f t="shared" ref="G131:G194" si="2">F131*1000</f>
        <v>1965.6231000008099</v>
      </c>
    </row>
    <row r="132" spans="1:7" x14ac:dyDescent="0.35">
      <c r="A132" s="1" t="s">
        <v>23</v>
      </c>
      <c r="B132" s="1" t="s">
        <v>10</v>
      </c>
      <c r="C132" s="1" t="s">
        <v>11</v>
      </c>
      <c r="D132" s="1" t="s">
        <v>8</v>
      </c>
      <c r="E132" s="1">
        <v>0</v>
      </c>
      <c r="F132" s="1">
        <v>0.56835230000069703</v>
      </c>
      <c r="G132" s="1">
        <f t="shared" si="2"/>
        <v>568.35230000069703</v>
      </c>
    </row>
    <row r="133" spans="1:7" x14ac:dyDescent="0.35">
      <c r="A133" s="1" t="s">
        <v>28</v>
      </c>
      <c r="B133" s="1" t="s">
        <v>10</v>
      </c>
      <c r="C133" s="1" t="s">
        <v>11</v>
      </c>
      <c r="D133" s="1" t="s">
        <v>11</v>
      </c>
      <c r="E133" s="1">
        <v>1</v>
      </c>
      <c r="F133" s="1">
        <v>1.0551368999986099</v>
      </c>
      <c r="G133" s="1">
        <f t="shared" si="2"/>
        <v>1055.13689999861</v>
      </c>
    </row>
    <row r="134" spans="1:7" x14ac:dyDescent="0.35">
      <c r="A134" s="1" t="s">
        <v>14</v>
      </c>
      <c r="B134" s="1" t="s">
        <v>10</v>
      </c>
      <c r="C134" s="1" t="s">
        <v>11</v>
      </c>
      <c r="D134" s="1" t="s">
        <v>11</v>
      </c>
      <c r="E134" s="1">
        <v>1</v>
      </c>
      <c r="F134" s="1">
        <v>1.10893150000083</v>
      </c>
      <c r="G134" s="1">
        <f t="shared" si="2"/>
        <v>1108.9315000008301</v>
      </c>
    </row>
    <row r="135" spans="1:7" x14ac:dyDescent="0.35">
      <c r="A135" s="1" t="s">
        <v>22</v>
      </c>
      <c r="B135" s="1" t="s">
        <v>7</v>
      </c>
      <c r="C135" s="1" t="s">
        <v>8</v>
      </c>
      <c r="D135" s="1" t="s">
        <v>8</v>
      </c>
      <c r="E135" s="1">
        <v>1</v>
      </c>
      <c r="F135" s="1">
        <v>5.3436228999999003</v>
      </c>
      <c r="G135" s="1">
        <f t="shared" si="2"/>
        <v>5343.6228999999003</v>
      </c>
    </row>
    <row r="136" spans="1:7" x14ac:dyDescent="0.35">
      <c r="A136" s="1" t="s">
        <v>27</v>
      </c>
      <c r="B136" s="1" t="s">
        <v>7</v>
      </c>
      <c r="C136" s="1" t="s">
        <v>8</v>
      </c>
      <c r="D136" s="1" t="s">
        <v>8</v>
      </c>
      <c r="E136" s="1">
        <v>1</v>
      </c>
      <c r="F136" s="1">
        <v>0.49561139999968801</v>
      </c>
      <c r="G136" s="1">
        <f t="shared" si="2"/>
        <v>495.61139999968799</v>
      </c>
    </row>
    <row r="137" spans="1:7" x14ac:dyDescent="0.35">
      <c r="A137" s="1" t="s">
        <v>25</v>
      </c>
      <c r="B137" s="1" t="s">
        <v>10</v>
      </c>
      <c r="C137" s="1" t="s">
        <v>11</v>
      </c>
      <c r="D137" s="1" t="s">
        <v>8</v>
      </c>
      <c r="E137" s="1">
        <v>0</v>
      </c>
      <c r="F137" s="1">
        <v>0.78593460000047299</v>
      </c>
      <c r="G137" s="1">
        <f t="shared" si="2"/>
        <v>785.93460000047298</v>
      </c>
    </row>
    <row r="138" spans="1:7" x14ac:dyDescent="0.35">
      <c r="A138" s="1" t="s">
        <v>15</v>
      </c>
      <c r="B138" s="1" t="s">
        <v>7</v>
      </c>
      <c r="C138" s="1" t="s">
        <v>8</v>
      </c>
      <c r="D138" s="1" t="s">
        <v>8</v>
      </c>
      <c r="E138" s="1">
        <v>1</v>
      </c>
      <c r="F138" s="1">
        <v>0.58548189999964895</v>
      </c>
      <c r="G138" s="1">
        <f t="shared" si="2"/>
        <v>585.48189999964893</v>
      </c>
    </row>
    <row r="139" spans="1:7" x14ac:dyDescent="0.35">
      <c r="A139" s="1" t="s">
        <v>19</v>
      </c>
      <c r="B139" s="1" t="s">
        <v>7</v>
      </c>
      <c r="C139" s="1" t="s">
        <v>8</v>
      </c>
      <c r="D139" s="1" t="s">
        <v>8</v>
      </c>
      <c r="E139" s="1">
        <v>1</v>
      </c>
      <c r="F139" s="1">
        <v>0.50653680000141299</v>
      </c>
      <c r="G139" s="1">
        <f t="shared" si="2"/>
        <v>506.53680000141298</v>
      </c>
    </row>
    <row r="140" spans="1:7" x14ac:dyDescent="0.35">
      <c r="A140" s="1" t="s">
        <v>20</v>
      </c>
      <c r="B140" s="1" t="s">
        <v>10</v>
      </c>
      <c r="C140" s="1" t="s">
        <v>11</v>
      </c>
      <c r="D140" s="1" t="s">
        <v>11</v>
      </c>
      <c r="E140" s="1">
        <v>1</v>
      </c>
      <c r="F140" s="1">
        <v>1.1401444000002801</v>
      </c>
      <c r="G140" s="1">
        <f t="shared" si="2"/>
        <v>1140.14440000028</v>
      </c>
    </row>
    <row r="141" spans="1:7" x14ac:dyDescent="0.35">
      <c r="A141" s="1" t="s">
        <v>6</v>
      </c>
      <c r="B141" s="1" t="s">
        <v>7</v>
      </c>
      <c r="C141" s="1" t="s">
        <v>8</v>
      </c>
      <c r="D141" s="1" t="s">
        <v>8</v>
      </c>
      <c r="E141" s="1">
        <v>1</v>
      </c>
      <c r="F141" s="1">
        <v>0.70502800000031096</v>
      </c>
      <c r="G141" s="1">
        <f t="shared" si="2"/>
        <v>705.02800000031095</v>
      </c>
    </row>
    <row r="142" spans="1:7" x14ac:dyDescent="0.35">
      <c r="A142" s="1" t="s">
        <v>20</v>
      </c>
      <c r="B142" s="1" t="s">
        <v>10</v>
      </c>
      <c r="C142" s="1" t="s">
        <v>11</v>
      </c>
      <c r="D142" s="1" t="s">
        <v>11</v>
      </c>
      <c r="E142" s="1">
        <v>1</v>
      </c>
      <c r="F142" s="1">
        <v>0.92804960000103098</v>
      </c>
      <c r="G142" s="1">
        <f t="shared" si="2"/>
        <v>928.04960000103097</v>
      </c>
    </row>
    <row r="143" spans="1:7" x14ac:dyDescent="0.35">
      <c r="A143" s="1" t="s">
        <v>16</v>
      </c>
      <c r="B143" s="1" t="s">
        <v>10</v>
      </c>
      <c r="C143" s="1" t="s">
        <v>11</v>
      </c>
      <c r="D143" s="1" t="s">
        <v>11</v>
      </c>
      <c r="E143" s="1">
        <v>1</v>
      </c>
      <c r="F143" s="1">
        <v>1.1426035000004</v>
      </c>
      <c r="G143" s="1">
        <f t="shared" si="2"/>
        <v>1142.6035000004001</v>
      </c>
    </row>
    <row r="144" spans="1:7" x14ac:dyDescent="0.35">
      <c r="A144" s="1" t="s">
        <v>24</v>
      </c>
      <c r="B144" s="1" t="s">
        <v>7</v>
      </c>
      <c r="C144" s="1" t="s">
        <v>8</v>
      </c>
      <c r="D144" s="1" t="s">
        <v>8</v>
      </c>
      <c r="E144" s="1">
        <v>1</v>
      </c>
      <c r="F144" s="1">
        <v>3.2460177000011701</v>
      </c>
      <c r="G144" s="1">
        <f t="shared" si="2"/>
        <v>3246.0177000011699</v>
      </c>
    </row>
    <row r="145" spans="1:7" x14ac:dyDescent="0.35">
      <c r="A145" s="1" t="s">
        <v>25</v>
      </c>
      <c r="B145" s="1" t="s">
        <v>10</v>
      </c>
      <c r="C145" s="1" t="s">
        <v>11</v>
      </c>
      <c r="D145" s="1" t="s">
        <v>11</v>
      </c>
      <c r="E145" s="1">
        <v>1</v>
      </c>
      <c r="F145" s="1">
        <v>1.3333242000007799</v>
      </c>
      <c r="G145" s="1">
        <f t="shared" si="2"/>
        <v>1333.3242000007799</v>
      </c>
    </row>
    <row r="146" spans="1:7" x14ac:dyDescent="0.35">
      <c r="A146" s="1" t="s">
        <v>27</v>
      </c>
      <c r="B146" s="1" t="s">
        <v>7</v>
      </c>
      <c r="C146" s="1" t="s">
        <v>8</v>
      </c>
      <c r="D146" s="1" t="s">
        <v>8</v>
      </c>
      <c r="E146" s="1">
        <v>1</v>
      </c>
      <c r="F146" s="1">
        <v>1.11960340000041</v>
      </c>
      <c r="G146" s="1">
        <f t="shared" si="2"/>
        <v>1119.6034000004099</v>
      </c>
    </row>
    <row r="147" spans="1:7" x14ac:dyDescent="0.35">
      <c r="A147" s="1" t="s">
        <v>29</v>
      </c>
      <c r="B147" s="1" t="s">
        <v>7</v>
      </c>
      <c r="C147" s="1" t="s">
        <v>8</v>
      </c>
      <c r="D147" s="1" t="s">
        <v>8</v>
      </c>
      <c r="E147" s="1">
        <v>1</v>
      </c>
      <c r="F147" s="1">
        <v>0.408042700000805</v>
      </c>
      <c r="G147" s="1">
        <f t="shared" si="2"/>
        <v>408.04270000080498</v>
      </c>
    </row>
    <row r="148" spans="1:7" x14ac:dyDescent="0.35">
      <c r="A148" s="1" t="s">
        <v>26</v>
      </c>
      <c r="B148" s="1" t="s">
        <v>10</v>
      </c>
      <c r="C148" s="1" t="s">
        <v>11</v>
      </c>
      <c r="D148" s="1" t="s">
        <v>11</v>
      </c>
      <c r="E148" s="1">
        <v>1</v>
      </c>
      <c r="F148" s="1">
        <v>1.0199398999993701</v>
      </c>
      <c r="G148" s="1">
        <f t="shared" si="2"/>
        <v>1019.93989999937</v>
      </c>
    </row>
    <row r="149" spans="1:7" x14ac:dyDescent="0.35">
      <c r="A149" s="1" t="s">
        <v>19</v>
      </c>
      <c r="B149" s="1" t="s">
        <v>7</v>
      </c>
      <c r="C149" s="1" t="s">
        <v>8</v>
      </c>
      <c r="D149" s="1" t="s">
        <v>8</v>
      </c>
      <c r="E149" s="1">
        <v>1</v>
      </c>
      <c r="F149" s="1">
        <v>0.60522359999958997</v>
      </c>
      <c r="G149" s="1">
        <f t="shared" si="2"/>
        <v>605.22359999958996</v>
      </c>
    </row>
    <row r="150" spans="1:7" x14ac:dyDescent="0.35">
      <c r="A150" s="1" t="s">
        <v>9</v>
      </c>
      <c r="B150" s="1" t="s">
        <v>10</v>
      </c>
      <c r="C150" s="1" t="s">
        <v>11</v>
      </c>
      <c r="D150" s="1" t="s">
        <v>11</v>
      </c>
      <c r="E150" s="1">
        <v>1</v>
      </c>
      <c r="F150" s="1">
        <v>1.5321389999990001</v>
      </c>
      <c r="G150" s="1">
        <f t="shared" si="2"/>
        <v>1532.1389999990001</v>
      </c>
    </row>
    <row r="151" spans="1:7" x14ac:dyDescent="0.35">
      <c r="A151" s="1" t="s">
        <v>18</v>
      </c>
      <c r="B151" s="1" t="s">
        <v>7</v>
      </c>
      <c r="C151" s="1" t="s">
        <v>8</v>
      </c>
      <c r="D151" s="1" t="s">
        <v>8</v>
      </c>
      <c r="E151" s="1">
        <v>1</v>
      </c>
      <c r="F151" s="1">
        <v>0.53569310000057102</v>
      </c>
      <c r="G151" s="1">
        <f t="shared" si="2"/>
        <v>535.69310000057101</v>
      </c>
    </row>
    <row r="152" spans="1:7" x14ac:dyDescent="0.35">
      <c r="A152" s="1" t="s">
        <v>15</v>
      </c>
      <c r="B152" s="1" t="s">
        <v>7</v>
      </c>
      <c r="C152" s="1" t="s">
        <v>8</v>
      </c>
      <c r="D152" s="1" t="s">
        <v>8</v>
      </c>
      <c r="E152" s="1">
        <v>1</v>
      </c>
      <c r="F152" s="1">
        <v>0.44387819999974398</v>
      </c>
      <c r="G152" s="1">
        <f t="shared" si="2"/>
        <v>443.87819999974397</v>
      </c>
    </row>
    <row r="153" spans="1:7" x14ac:dyDescent="0.35">
      <c r="A153" s="1" t="s">
        <v>23</v>
      </c>
      <c r="B153" s="1" t="s">
        <v>10</v>
      </c>
      <c r="C153" s="1" t="s">
        <v>11</v>
      </c>
      <c r="D153" s="1" t="s">
        <v>11</v>
      </c>
      <c r="E153" s="1">
        <v>1</v>
      </c>
      <c r="F153" s="1">
        <v>1.2707632999990801</v>
      </c>
      <c r="G153" s="1">
        <f t="shared" si="2"/>
        <v>1270.7632999990801</v>
      </c>
    </row>
    <row r="154" spans="1:7" x14ac:dyDescent="0.35">
      <c r="A154" s="1" t="s">
        <v>14</v>
      </c>
      <c r="B154" s="1" t="s">
        <v>10</v>
      </c>
      <c r="C154" s="1" t="s">
        <v>11</v>
      </c>
      <c r="D154" s="1" t="s">
        <v>11</v>
      </c>
      <c r="E154" s="1">
        <v>1</v>
      </c>
      <c r="F154" s="1">
        <v>0.57251800000085495</v>
      </c>
      <c r="G154" s="1">
        <f t="shared" si="2"/>
        <v>572.51800000085495</v>
      </c>
    </row>
    <row r="155" spans="1:7" x14ac:dyDescent="0.35">
      <c r="A155" s="1" t="s">
        <v>12</v>
      </c>
      <c r="B155" s="1" t="s">
        <v>7</v>
      </c>
      <c r="C155" s="1" t="s">
        <v>8</v>
      </c>
      <c r="D155" s="1" t="s">
        <v>8</v>
      </c>
      <c r="E155" s="1">
        <v>1</v>
      </c>
      <c r="F155" s="1">
        <v>0.47456649999912698</v>
      </c>
      <c r="G155" s="1">
        <f t="shared" si="2"/>
        <v>474.56649999912696</v>
      </c>
    </row>
    <row r="156" spans="1:7" x14ac:dyDescent="0.35">
      <c r="A156" s="1" t="s">
        <v>21</v>
      </c>
      <c r="B156" s="1" t="s">
        <v>10</v>
      </c>
      <c r="C156" s="1" t="s">
        <v>11</v>
      </c>
      <c r="D156" s="1" t="s">
        <v>11</v>
      </c>
      <c r="E156" s="1">
        <v>1</v>
      </c>
      <c r="F156" s="1">
        <v>0.77042019999862499</v>
      </c>
      <c r="G156" s="1">
        <f t="shared" si="2"/>
        <v>770.42019999862498</v>
      </c>
    </row>
    <row r="157" spans="1:7" x14ac:dyDescent="0.35">
      <c r="A157" s="1" t="s">
        <v>22</v>
      </c>
      <c r="B157" s="1" t="s">
        <v>7</v>
      </c>
      <c r="C157" s="1" t="s">
        <v>8</v>
      </c>
      <c r="D157" s="1" t="s">
        <v>8</v>
      </c>
      <c r="E157" s="1">
        <v>1</v>
      </c>
      <c r="F157" s="1">
        <v>0.45839350000096601</v>
      </c>
      <c r="G157" s="1">
        <f t="shared" si="2"/>
        <v>458.39350000096601</v>
      </c>
    </row>
    <row r="158" spans="1:7" x14ac:dyDescent="0.35">
      <c r="A158" s="1" t="s">
        <v>17</v>
      </c>
      <c r="B158" s="1" t="s">
        <v>10</v>
      </c>
      <c r="C158" s="1" t="s">
        <v>11</v>
      </c>
      <c r="D158" s="1" t="s">
        <v>11</v>
      </c>
      <c r="E158" s="1">
        <v>1</v>
      </c>
      <c r="F158" s="1">
        <v>1.2101462999999</v>
      </c>
      <c r="G158" s="1">
        <f t="shared" si="2"/>
        <v>1210.1462999999001</v>
      </c>
    </row>
    <row r="159" spans="1:7" x14ac:dyDescent="0.35">
      <c r="A159" s="1" t="s">
        <v>6</v>
      </c>
      <c r="B159" s="1" t="s">
        <v>7</v>
      </c>
      <c r="C159" s="1" t="s">
        <v>8</v>
      </c>
      <c r="D159" s="1" t="s">
        <v>8</v>
      </c>
      <c r="E159" s="1">
        <v>1</v>
      </c>
      <c r="F159" s="1">
        <v>0.45617710000078598</v>
      </c>
      <c r="G159" s="1">
        <f t="shared" si="2"/>
        <v>456.17710000078597</v>
      </c>
    </row>
    <row r="160" spans="1:7" x14ac:dyDescent="0.35">
      <c r="A160" s="1" t="s">
        <v>13</v>
      </c>
      <c r="B160" s="1" t="s">
        <v>7</v>
      </c>
      <c r="C160" s="1" t="s">
        <v>8</v>
      </c>
      <c r="D160" s="1" t="s">
        <v>8</v>
      </c>
      <c r="E160" s="1">
        <v>1</v>
      </c>
      <c r="F160" s="1">
        <v>0.51695689999905803</v>
      </c>
      <c r="G160" s="1">
        <f t="shared" si="2"/>
        <v>516.95689999905801</v>
      </c>
    </row>
    <row r="161" spans="1:7" x14ac:dyDescent="0.35">
      <c r="A161" s="1" t="s">
        <v>28</v>
      </c>
      <c r="B161" s="1" t="s">
        <v>10</v>
      </c>
      <c r="C161" s="1" t="s">
        <v>11</v>
      </c>
      <c r="D161" s="1" t="s">
        <v>11</v>
      </c>
      <c r="E161" s="1">
        <v>1</v>
      </c>
      <c r="F161" s="1">
        <v>1.7032968000003099</v>
      </c>
      <c r="G161" s="1">
        <f t="shared" si="2"/>
        <v>1703.29680000031</v>
      </c>
    </row>
    <row r="162" spans="1:7" x14ac:dyDescent="0.35">
      <c r="A162" s="1" t="s">
        <v>20</v>
      </c>
      <c r="B162" s="1" t="s">
        <v>10</v>
      </c>
      <c r="C162" s="1" t="s">
        <v>11</v>
      </c>
      <c r="D162" s="1" t="s">
        <v>11</v>
      </c>
      <c r="E162" s="1">
        <v>1</v>
      </c>
      <c r="F162" s="1">
        <v>1.2737345999994401</v>
      </c>
      <c r="G162" s="1">
        <f t="shared" si="2"/>
        <v>1273.73459999944</v>
      </c>
    </row>
    <row r="163" spans="1:7" x14ac:dyDescent="0.35">
      <c r="A163" s="1" t="s">
        <v>21</v>
      </c>
      <c r="B163" s="1" t="s">
        <v>10</v>
      </c>
      <c r="C163" s="1" t="s">
        <v>11</v>
      </c>
      <c r="D163" s="1" t="s">
        <v>11</v>
      </c>
      <c r="E163" s="1">
        <v>1</v>
      </c>
      <c r="F163" s="1">
        <v>1.04892830000062</v>
      </c>
      <c r="G163" s="1">
        <f t="shared" si="2"/>
        <v>1048.9283000006201</v>
      </c>
    </row>
    <row r="164" spans="1:7" x14ac:dyDescent="0.35">
      <c r="A164" s="1" t="s">
        <v>6</v>
      </c>
      <c r="B164" s="1" t="s">
        <v>7</v>
      </c>
      <c r="C164" s="1" t="s">
        <v>8</v>
      </c>
      <c r="D164" s="1" t="s">
        <v>8</v>
      </c>
      <c r="E164" s="1">
        <v>1</v>
      </c>
      <c r="F164" s="1">
        <v>0.528888100001495</v>
      </c>
      <c r="G164" s="1">
        <f t="shared" si="2"/>
        <v>528.88810000149499</v>
      </c>
    </row>
    <row r="165" spans="1:7" x14ac:dyDescent="0.35">
      <c r="A165" s="1" t="s">
        <v>13</v>
      </c>
      <c r="B165" s="1" t="s">
        <v>7</v>
      </c>
      <c r="C165" s="1" t="s">
        <v>8</v>
      </c>
      <c r="D165" s="1" t="s">
        <v>8</v>
      </c>
      <c r="E165" s="1">
        <v>1</v>
      </c>
      <c r="F165" s="1">
        <v>0.49056740000014498</v>
      </c>
      <c r="G165" s="1">
        <f t="shared" si="2"/>
        <v>490.56740000014497</v>
      </c>
    </row>
    <row r="166" spans="1:7" x14ac:dyDescent="0.35">
      <c r="A166" s="1" t="s">
        <v>12</v>
      </c>
      <c r="B166" s="1" t="s">
        <v>7</v>
      </c>
      <c r="C166" s="1" t="s">
        <v>8</v>
      </c>
      <c r="D166" s="1" t="s">
        <v>8</v>
      </c>
      <c r="E166" s="1">
        <v>1</v>
      </c>
      <c r="F166" s="1">
        <v>0.36706630000117002</v>
      </c>
      <c r="G166" s="1">
        <f t="shared" si="2"/>
        <v>367.06630000117002</v>
      </c>
    </row>
    <row r="167" spans="1:7" x14ac:dyDescent="0.35">
      <c r="A167" s="1" t="s">
        <v>17</v>
      </c>
      <c r="B167" s="1" t="s">
        <v>10</v>
      </c>
      <c r="C167" s="1" t="s">
        <v>11</v>
      </c>
      <c r="D167" s="1" t="s">
        <v>11</v>
      </c>
      <c r="E167" s="1">
        <v>1</v>
      </c>
      <c r="F167" s="1">
        <v>1.6010380000006901</v>
      </c>
      <c r="G167" s="1">
        <f t="shared" si="2"/>
        <v>1601.0380000006901</v>
      </c>
    </row>
    <row r="168" spans="1:7" x14ac:dyDescent="0.35">
      <c r="A168" s="1" t="s">
        <v>19</v>
      </c>
      <c r="B168" s="1" t="s">
        <v>7</v>
      </c>
      <c r="C168" s="1" t="s">
        <v>8</v>
      </c>
      <c r="D168" s="1" t="s">
        <v>8</v>
      </c>
      <c r="E168" s="1">
        <v>1</v>
      </c>
      <c r="F168" s="1">
        <v>0.46599779999996799</v>
      </c>
      <c r="G168" s="1">
        <f t="shared" si="2"/>
        <v>465.99779999996798</v>
      </c>
    </row>
    <row r="169" spans="1:7" x14ac:dyDescent="0.35">
      <c r="A169" s="1" t="s">
        <v>29</v>
      </c>
      <c r="B169" s="1" t="s">
        <v>7</v>
      </c>
      <c r="C169" s="1" t="s">
        <v>8</v>
      </c>
      <c r="D169" s="1" t="s">
        <v>8</v>
      </c>
      <c r="E169" s="1">
        <v>1</v>
      </c>
      <c r="F169" s="1">
        <v>0.83080530000006503</v>
      </c>
      <c r="G169" s="1">
        <f t="shared" si="2"/>
        <v>830.80530000006502</v>
      </c>
    </row>
    <row r="170" spans="1:7" x14ac:dyDescent="0.35">
      <c r="A170" s="1" t="s">
        <v>23</v>
      </c>
      <c r="B170" s="1" t="s">
        <v>10</v>
      </c>
      <c r="C170" s="1" t="s">
        <v>11</v>
      </c>
      <c r="D170" s="1" t="s">
        <v>11</v>
      </c>
      <c r="E170" s="1">
        <v>1</v>
      </c>
      <c r="F170" s="1">
        <v>2.66903739999906</v>
      </c>
      <c r="G170" s="1">
        <f t="shared" si="2"/>
        <v>2669.0373999990602</v>
      </c>
    </row>
    <row r="171" spans="1:7" x14ac:dyDescent="0.35">
      <c r="A171" s="1" t="s">
        <v>25</v>
      </c>
      <c r="B171" s="1" t="s">
        <v>10</v>
      </c>
      <c r="C171" s="1" t="s">
        <v>11</v>
      </c>
      <c r="D171" s="1" t="s">
        <v>8</v>
      </c>
      <c r="E171" s="1">
        <v>0</v>
      </c>
      <c r="F171" s="1">
        <v>0.82768229999965104</v>
      </c>
      <c r="G171" s="1">
        <f t="shared" si="2"/>
        <v>827.68229999965104</v>
      </c>
    </row>
    <row r="172" spans="1:7" x14ac:dyDescent="0.35">
      <c r="A172" s="1" t="s">
        <v>27</v>
      </c>
      <c r="B172" s="1" t="s">
        <v>7</v>
      </c>
      <c r="C172" s="1" t="s">
        <v>8</v>
      </c>
      <c r="D172" s="1" t="s">
        <v>8</v>
      </c>
      <c r="E172" s="1">
        <v>1</v>
      </c>
      <c r="F172" s="1">
        <v>0.71062399999936998</v>
      </c>
      <c r="G172" s="1">
        <f t="shared" si="2"/>
        <v>710.62399999936997</v>
      </c>
    </row>
    <row r="173" spans="1:7" x14ac:dyDescent="0.35">
      <c r="A173" s="1" t="s">
        <v>28</v>
      </c>
      <c r="B173" s="1" t="s">
        <v>10</v>
      </c>
      <c r="C173" s="1" t="s">
        <v>11</v>
      </c>
      <c r="D173" s="1" t="s">
        <v>11</v>
      </c>
      <c r="E173" s="1">
        <v>1</v>
      </c>
      <c r="F173" s="1">
        <v>1.3454562000006201</v>
      </c>
      <c r="G173" s="1">
        <f t="shared" si="2"/>
        <v>1345.4562000006201</v>
      </c>
    </row>
    <row r="174" spans="1:7" x14ac:dyDescent="0.35">
      <c r="A174" s="1" t="s">
        <v>9</v>
      </c>
      <c r="B174" s="1" t="s">
        <v>10</v>
      </c>
      <c r="C174" s="1" t="s">
        <v>11</v>
      </c>
      <c r="D174" s="1" t="s">
        <v>11</v>
      </c>
      <c r="E174" s="1">
        <v>1</v>
      </c>
      <c r="F174" s="1">
        <v>1.1369025999993001</v>
      </c>
      <c r="G174" s="1">
        <f t="shared" si="2"/>
        <v>1136.9025999993</v>
      </c>
    </row>
    <row r="175" spans="1:7" x14ac:dyDescent="0.35">
      <c r="A175" s="1" t="s">
        <v>16</v>
      </c>
      <c r="B175" s="1" t="s">
        <v>10</v>
      </c>
      <c r="C175" s="1" t="s">
        <v>11</v>
      </c>
      <c r="D175" s="1" t="s">
        <v>11</v>
      </c>
      <c r="E175" s="1">
        <v>1</v>
      </c>
      <c r="F175" s="1">
        <v>0.720277000000351</v>
      </c>
      <c r="G175" s="1">
        <f t="shared" si="2"/>
        <v>720.27700000035099</v>
      </c>
    </row>
    <row r="176" spans="1:7" x14ac:dyDescent="0.35">
      <c r="A176" s="1" t="s">
        <v>18</v>
      </c>
      <c r="B176" s="1" t="s">
        <v>7</v>
      </c>
      <c r="C176" s="1" t="s">
        <v>8</v>
      </c>
      <c r="D176" s="1" t="s">
        <v>8</v>
      </c>
      <c r="E176" s="1">
        <v>1</v>
      </c>
      <c r="F176" s="1">
        <v>0.49581570000009301</v>
      </c>
      <c r="G176" s="1">
        <f t="shared" si="2"/>
        <v>495.81570000009299</v>
      </c>
    </row>
    <row r="177" spans="1:7" x14ac:dyDescent="0.35">
      <c r="A177" s="1" t="s">
        <v>24</v>
      </c>
      <c r="B177" s="1" t="s">
        <v>7</v>
      </c>
      <c r="C177" s="1" t="s">
        <v>8</v>
      </c>
      <c r="D177" s="1" t="s">
        <v>8</v>
      </c>
      <c r="E177" s="1">
        <v>1</v>
      </c>
      <c r="F177" s="1">
        <v>1.27884559999984</v>
      </c>
      <c r="G177" s="1">
        <f t="shared" si="2"/>
        <v>1278.84559999984</v>
      </c>
    </row>
    <row r="178" spans="1:7" x14ac:dyDescent="0.35">
      <c r="A178" s="1" t="s">
        <v>22</v>
      </c>
      <c r="B178" s="1" t="s">
        <v>7</v>
      </c>
      <c r="C178" s="1" t="s">
        <v>8</v>
      </c>
      <c r="D178" s="1" t="s">
        <v>8</v>
      </c>
      <c r="E178" s="1">
        <v>1</v>
      </c>
      <c r="F178" s="1">
        <v>1.1721357999995199</v>
      </c>
      <c r="G178" s="1">
        <f t="shared" si="2"/>
        <v>1172.1357999995198</v>
      </c>
    </row>
    <row r="179" spans="1:7" x14ac:dyDescent="0.35">
      <c r="A179" s="1" t="s">
        <v>26</v>
      </c>
      <c r="B179" s="1" t="s">
        <v>10</v>
      </c>
      <c r="C179" s="1" t="s">
        <v>11</v>
      </c>
      <c r="D179" s="1" t="s">
        <v>11</v>
      </c>
      <c r="E179" s="1">
        <v>1</v>
      </c>
      <c r="F179" s="1">
        <v>1.0066429999988</v>
      </c>
      <c r="G179" s="1">
        <f t="shared" si="2"/>
        <v>1006.6429999988001</v>
      </c>
    </row>
    <row r="180" spans="1:7" x14ac:dyDescent="0.35">
      <c r="A180" s="1" t="s">
        <v>15</v>
      </c>
      <c r="B180" s="1" t="s">
        <v>7</v>
      </c>
      <c r="C180" s="1" t="s">
        <v>8</v>
      </c>
      <c r="D180" s="1" t="s">
        <v>8</v>
      </c>
      <c r="E180" s="1">
        <v>1</v>
      </c>
      <c r="F180" s="1">
        <v>0.549706300000252</v>
      </c>
      <c r="G180" s="1">
        <f t="shared" si="2"/>
        <v>549.70630000025199</v>
      </c>
    </row>
    <row r="181" spans="1:7" x14ac:dyDescent="0.35">
      <c r="A181" s="1" t="s">
        <v>14</v>
      </c>
      <c r="B181" s="1" t="s">
        <v>10</v>
      </c>
      <c r="C181" s="1" t="s">
        <v>11</v>
      </c>
      <c r="D181" s="1" t="s">
        <v>11</v>
      </c>
      <c r="E181" s="1">
        <v>1</v>
      </c>
      <c r="F181" s="1">
        <v>1.2022120000001399</v>
      </c>
      <c r="G181" s="1">
        <f t="shared" si="2"/>
        <v>1202.2120000001401</v>
      </c>
    </row>
    <row r="182" spans="1:7" x14ac:dyDescent="0.35">
      <c r="A182" s="1" t="s">
        <v>17</v>
      </c>
      <c r="B182" s="1" t="s">
        <v>10</v>
      </c>
      <c r="C182" s="1" t="s">
        <v>11</v>
      </c>
      <c r="D182" s="1" t="s">
        <v>11</v>
      </c>
      <c r="E182" s="1">
        <v>1</v>
      </c>
      <c r="F182" s="1">
        <v>1.0017490999998699</v>
      </c>
      <c r="G182" s="1">
        <f t="shared" si="2"/>
        <v>1001.7490999998699</v>
      </c>
    </row>
    <row r="183" spans="1:7" x14ac:dyDescent="0.35">
      <c r="A183" s="1" t="s">
        <v>27</v>
      </c>
      <c r="B183" s="1" t="s">
        <v>7</v>
      </c>
      <c r="C183" s="1" t="s">
        <v>8</v>
      </c>
      <c r="D183" s="1" t="s">
        <v>8</v>
      </c>
      <c r="E183" s="1">
        <v>1</v>
      </c>
      <c r="F183" s="1">
        <v>1.2131700000009</v>
      </c>
      <c r="G183" s="1">
        <f t="shared" si="2"/>
        <v>1213.1700000009</v>
      </c>
    </row>
    <row r="184" spans="1:7" x14ac:dyDescent="0.35">
      <c r="A184" s="1" t="s">
        <v>28</v>
      </c>
      <c r="B184" s="1" t="s">
        <v>10</v>
      </c>
      <c r="C184" s="1" t="s">
        <v>11</v>
      </c>
      <c r="D184" s="1" t="s">
        <v>11</v>
      </c>
      <c r="E184" s="1">
        <v>1</v>
      </c>
      <c r="F184" s="1">
        <v>1.2729836999988</v>
      </c>
      <c r="G184" s="1">
        <f t="shared" si="2"/>
        <v>1272.9836999987999</v>
      </c>
    </row>
    <row r="185" spans="1:7" x14ac:dyDescent="0.35">
      <c r="A185" s="1" t="s">
        <v>14</v>
      </c>
      <c r="B185" s="1" t="s">
        <v>10</v>
      </c>
      <c r="C185" s="1" t="s">
        <v>11</v>
      </c>
      <c r="D185" s="1" t="s">
        <v>11</v>
      </c>
      <c r="E185" s="1">
        <v>1</v>
      </c>
      <c r="F185" s="1">
        <v>0.90509819999897401</v>
      </c>
      <c r="G185" s="1">
        <f t="shared" si="2"/>
        <v>905.098199998974</v>
      </c>
    </row>
    <row r="186" spans="1:7" x14ac:dyDescent="0.35">
      <c r="A186" s="1" t="s">
        <v>24</v>
      </c>
      <c r="B186" s="1" t="s">
        <v>7</v>
      </c>
      <c r="C186" s="1" t="s">
        <v>8</v>
      </c>
      <c r="D186" s="1" t="s">
        <v>8</v>
      </c>
      <c r="E186" s="1">
        <v>1</v>
      </c>
      <c r="F186" s="1">
        <v>0.49546569999984003</v>
      </c>
      <c r="G186" s="1">
        <f t="shared" si="2"/>
        <v>495.46569999984001</v>
      </c>
    </row>
    <row r="187" spans="1:7" x14ac:dyDescent="0.35">
      <c r="A187" s="1" t="s">
        <v>25</v>
      </c>
      <c r="B187" s="1" t="s">
        <v>10</v>
      </c>
      <c r="C187" s="1" t="s">
        <v>11</v>
      </c>
      <c r="D187" s="1" t="s">
        <v>8</v>
      </c>
      <c r="E187" s="1">
        <v>0</v>
      </c>
      <c r="F187" s="1">
        <v>0.88000169999941102</v>
      </c>
      <c r="G187" s="1">
        <f t="shared" si="2"/>
        <v>880.00169999941102</v>
      </c>
    </row>
    <row r="188" spans="1:7" x14ac:dyDescent="0.35">
      <c r="A188" s="1" t="s">
        <v>18</v>
      </c>
      <c r="B188" s="1" t="s">
        <v>7</v>
      </c>
      <c r="C188" s="1" t="s">
        <v>8</v>
      </c>
      <c r="D188" s="1" t="s">
        <v>8</v>
      </c>
      <c r="E188" s="1">
        <v>1</v>
      </c>
      <c r="F188" s="1">
        <v>0.63432739999916499</v>
      </c>
      <c r="G188" s="1">
        <f t="shared" si="2"/>
        <v>634.32739999916498</v>
      </c>
    </row>
    <row r="189" spans="1:7" x14ac:dyDescent="0.35">
      <c r="A189" s="1" t="s">
        <v>26</v>
      </c>
      <c r="B189" s="1" t="s">
        <v>10</v>
      </c>
      <c r="C189" s="1" t="s">
        <v>11</v>
      </c>
      <c r="D189" s="1" t="s">
        <v>11</v>
      </c>
      <c r="E189" s="1">
        <v>1</v>
      </c>
      <c r="F189" s="1">
        <v>0.90782360000048301</v>
      </c>
      <c r="G189" s="1">
        <f t="shared" si="2"/>
        <v>907.823600000483</v>
      </c>
    </row>
    <row r="190" spans="1:7" x14ac:dyDescent="0.35">
      <c r="A190" s="1" t="s">
        <v>12</v>
      </c>
      <c r="B190" s="1" t="s">
        <v>7</v>
      </c>
      <c r="C190" s="1" t="s">
        <v>8</v>
      </c>
      <c r="D190" s="1" t="s">
        <v>8</v>
      </c>
      <c r="E190" s="1">
        <v>1</v>
      </c>
      <c r="F190" s="1">
        <v>0.823015200001464</v>
      </c>
      <c r="G190" s="1">
        <f t="shared" si="2"/>
        <v>823.015200001464</v>
      </c>
    </row>
    <row r="191" spans="1:7" x14ac:dyDescent="0.35">
      <c r="A191" s="1" t="s">
        <v>20</v>
      </c>
      <c r="B191" s="1" t="s">
        <v>10</v>
      </c>
      <c r="C191" s="1" t="s">
        <v>11</v>
      </c>
      <c r="D191" s="1" t="s">
        <v>11</v>
      </c>
      <c r="E191" s="1">
        <v>1</v>
      </c>
      <c r="F191" s="1">
        <v>1.1123435000008599</v>
      </c>
      <c r="G191" s="1">
        <f t="shared" si="2"/>
        <v>1112.3435000008599</v>
      </c>
    </row>
    <row r="192" spans="1:7" x14ac:dyDescent="0.35">
      <c r="A192" s="1" t="s">
        <v>13</v>
      </c>
      <c r="B192" s="1" t="s">
        <v>7</v>
      </c>
      <c r="C192" s="1" t="s">
        <v>8</v>
      </c>
      <c r="D192" s="1" t="s">
        <v>8</v>
      </c>
      <c r="E192" s="1">
        <v>1</v>
      </c>
      <c r="F192" s="1">
        <v>0.74115109999911499</v>
      </c>
      <c r="G192" s="1">
        <f t="shared" si="2"/>
        <v>741.15109999911499</v>
      </c>
    </row>
    <row r="193" spans="1:7" x14ac:dyDescent="0.35">
      <c r="A193" s="1" t="s">
        <v>21</v>
      </c>
      <c r="B193" s="1" t="s">
        <v>10</v>
      </c>
      <c r="C193" s="1" t="s">
        <v>11</v>
      </c>
      <c r="D193" s="1" t="s">
        <v>11</v>
      </c>
      <c r="E193" s="1">
        <v>1</v>
      </c>
      <c r="F193" s="1">
        <v>1.6950063000003801</v>
      </c>
      <c r="G193" s="1">
        <f t="shared" si="2"/>
        <v>1695.0063000003802</v>
      </c>
    </row>
    <row r="194" spans="1:7" x14ac:dyDescent="0.35">
      <c r="A194" s="1" t="s">
        <v>6</v>
      </c>
      <c r="B194" s="1" t="s">
        <v>7</v>
      </c>
      <c r="C194" s="1" t="s">
        <v>8</v>
      </c>
      <c r="D194" s="1" t="s">
        <v>8</v>
      </c>
      <c r="E194" s="1">
        <v>1</v>
      </c>
      <c r="F194" s="1">
        <v>0.45591969999986698</v>
      </c>
      <c r="G194" s="1">
        <f t="shared" si="2"/>
        <v>455.91969999986696</v>
      </c>
    </row>
    <row r="195" spans="1:7" x14ac:dyDescent="0.35">
      <c r="A195" s="1" t="s">
        <v>19</v>
      </c>
      <c r="B195" s="1" t="s">
        <v>7</v>
      </c>
      <c r="C195" s="1" t="s">
        <v>8</v>
      </c>
      <c r="D195" s="1" t="s">
        <v>8</v>
      </c>
      <c r="E195" s="1">
        <v>1</v>
      </c>
      <c r="F195" s="1">
        <v>1.5538273000001901</v>
      </c>
      <c r="G195" s="1">
        <f t="shared" ref="G195:G201" si="3">F195*1000</f>
        <v>1553.82730000019</v>
      </c>
    </row>
    <row r="196" spans="1:7" x14ac:dyDescent="0.35">
      <c r="A196" s="1" t="s">
        <v>9</v>
      </c>
      <c r="B196" s="1" t="s">
        <v>10</v>
      </c>
      <c r="C196" s="1" t="s">
        <v>11</v>
      </c>
      <c r="D196" s="1" t="s">
        <v>11</v>
      </c>
      <c r="E196" s="1">
        <v>1</v>
      </c>
      <c r="F196" s="1">
        <v>0.86278909999964504</v>
      </c>
      <c r="G196" s="1">
        <f t="shared" si="3"/>
        <v>862.78909999964503</v>
      </c>
    </row>
    <row r="197" spans="1:7" x14ac:dyDescent="0.35">
      <c r="A197" s="1" t="s">
        <v>29</v>
      </c>
      <c r="B197" s="1" t="s">
        <v>7</v>
      </c>
      <c r="C197" s="1" t="s">
        <v>8</v>
      </c>
      <c r="D197" s="1" t="s">
        <v>8</v>
      </c>
      <c r="E197" s="1">
        <v>1</v>
      </c>
      <c r="F197" s="1">
        <v>0.540998100001161</v>
      </c>
      <c r="G197" s="1">
        <f t="shared" si="3"/>
        <v>540.99810000116099</v>
      </c>
    </row>
    <row r="198" spans="1:7" x14ac:dyDescent="0.35">
      <c r="A198" s="1" t="s">
        <v>15</v>
      </c>
      <c r="B198" s="1" t="s">
        <v>7</v>
      </c>
      <c r="C198" s="1" t="s">
        <v>8</v>
      </c>
      <c r="D198" s="1" t="s">
        <v>8</v>
      </c>
      <c r="E198" s="1">
        <v>1</v>
      </c>
      <c r="F198" s="1">
        <v>0.52705590000004998</v>
      </c>
      <c r="G198" s="1">
        <f t="shared" si="3"/>
        <v>527.05590000004997</v>
      </c>
    </row>
    <row r="199" spans="1:7" x14ac:dyDescent="0.35">
      <c r="A199" s="1" t="s">
        <v>23</v>
      </c>
      <c r="B199" s="1" t="s">
        <v>10</v>
      </c>
      <c r="C199" s="1" t="s">
        <v>11</v>
      </c>
      <c r="D199" s="1" t="s">
        <v>11</v>
      </c>
      <c r="E199" s="1">
        <v>1</v>
      </c>
      <c r="F199" s="1">
        <v>3.6356484999996601</v>
      </c>
      <c r="G199" s="1">
        <f t="shared" si="3"/>
        <v>3635.6484999996601</v>
      </c>
    </row>
    <row r="200" spans="1:7" x14ac:dyDescent="0.35">
      <c r="A200" s="1" t="s">
        <v>16</v>
      </c>
      <c r="B200" s="1" t="s">
        <v>10</v>
      </c>
      <c r="C200" s="1" t="s">
        <v>11</v>
      </c>
      <c r="D200" s="1" t="s">
        <v>8</v>
      </c>
      <c r="E200" s="1">
        <v>0</v>
      </c>
      <c r="F200" s="1">
        <v>3.2083949999996499</v>
      </c>
      <c r="G200" s="1">
        <f t="shared" si="3"/>
        <v>3208.3949999996498</v>
      </c>
    </row>
    <row r="201" spans="1:7" x14ac:dyDescent="0.35">
      <c r="A201" s="1" t="s">
        <v>22</v>
      </c>
      <c r="B201" s="1" t="s">
        <v>7</v>
      </c>
      <c r="C201" s="1" t="s">
        <v>8</v>
      </c>
      <c r="D201" s="1" t="s">
        <v>8</v>
      </c>
      <c r="E201" s="1">
        <v>1</v>
      </c>
      <c r="F201" s="1">
        <v>1.4742254000011501</v>
      </c>
      <c r="G201" s="1">
        <f t="shared" si="3"/>
        <v>1474.2254000011501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8B41D-E961-4B80-9CFD-27A0D1C2AA2D}">
  <dimension ref="A1:K201"/>
  <sheetViews>
    <sheetView workbookViewId="0">
      <selection activeCell="I10" sqref="I10:J12"/>
    </sheetView>
  </sheetViews>
  <sheetFormatPr defaultRowHeight="14.5" x14ac:dyDescent="0.35"/>
  <cols>
    <col min="1" max="2" width="9.08984375" customWidth="1"/>
    <col min="3" max="3" width="11.1796875" customWidth="1"/>
    <col min="4" max="9" width="9.08984375" customWidth="1"/>
    <col min="10" max="10" width="13.08984375" customWidth="1"/>
    <col min="11" max="11" width="10.7265625" customWidth="1"/>
    <col min="12" max="46" width="9.0898437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30</v>
      </c>
    </row>
    <row r="2" spans="1:11" x14ac:dyDescent="0.35">
      <c r="A2" s="1" t="s">
        <v>23</v>
      </c>
      <c r="B2" s="1" t="s">
        <v>10</v>
      </c>
      <c r="C2" s="1" t="s">
        <v>11</v>
      </c>
      <c r="D2" s="1" t="s">
        <v>8</v>
      </c>
      <c r="E2" s="1">
        <v>0</v>
      </c>
      <c r="F2" s="1">
        <v>0.55555559999993398</v>
      </c>
      <c r="G2" s="1">
        <f>F2*1000</f>
        <v>555.55559999993397</v>
      </c>
    </row>
    <row r="3" spans="1:11" x14ac:dyDescent="0.35">
      <c r="A3" s="1" t="s">
        <v>17</v>
      </c>
      <c r="B3" s="1" t="s">
        <v>10</v>
      </c>
      <c r="C3" s="1" t="s">
        <v>11</v>
      </c>
      <c r="D3" s="1" t="s">
        <v>11</v>
      </c>
      <c r="E3" s="1">
        <v>1</v>
      </c>
      <c r="F3" s="1">
        <v>0.95937359999879801</v>
      </c>
      <c r="G3" s="1">
        <f t="shared" ref="G3:G66" si="0">F3*1000</f>
        <v>959.373599998798</v>
      </c>
    </row>
    <row r="4" spans="1:11" x14ac:dyDescent="0.35">
      <c r="A4" s="1" t="s">
        <v>6</v>
      </c>
      <c r="B4" s="1" t="s">
        <v>7</v>
      </c>
      <c r="C4" s="1" t="s">
        <v>8</v>
      </c>
      <c r="D4" s="1" t="s">
        <v>8</v>
      </c>
      <c r="E4" s="1">
        <v>1</v>
      </c>
      <c r="F4" s="1">
        <v>1.3572916000011901</v>
      </c>
      <c r="G4" s="1">
        <f t="shared" si="0"/>
        <v>1357.2916000011901</v>
      </c>
    </row>
    <row r="5" spans="1:11" x14ac:dyDescent="0.35">
      <c r="A5" s="1" t="s">
        <v>9</v>
      </c>
      <c r="B5" s="1" t="s">
        <v>10</v>
      </c>
      <c r="C5" s="1" t="s">
        <v>11</v>
      </c>
      <c r="D5" s="1" t="s">
        <v>11</v>
      </c>
      <c r="E5" s="1">
        <v>1</v>
      </c>
      <c r="F5" s="1">
        <v>1.23577180000029</v>
      </c>
      <c r="G5" s="1">
        <f t="shared" si="0"/>
        <v>1235.7718000002899</v>
      </c>
    </row>
    <row r="6" spans="1:11" x14ac:dyDescent="0.35">
      <c r="A6" s="1" t="s">
        <v>16</v>
      </c>
      <c r="B6" s="1" t="s">
        <v>10</v>
      </c>
      <c r="C6" s="1" t="s">
        <v>11</v>
      </c>
      <c r="D6" s="1" t="s">
        <v>11</v>
      </c>
      <c r="E6" s="1">
        <v>1</v>
      </c>
      <c r="F6" s="1">
        <v>1.2744344000002401</v>
      </c>
      <c r="G6" s="1">
        <f t="shared" si="0"/>
        <v>1274.4344000002402</v>
      </c>
      <c r="I6" s="1" t="s">
        <v>31</v>
      </c>
      <c r="J6" s="1" t="s">
        <v>32</v>
      </c>
      <c r="K6" s="1" t="s">
        <v>33</v>
      </c>
    </row>
    <row r="7" spans="1:11" x14ac:dyDescent="0.35">
      <c r="A7" s="1" t="s">
        <v>19</v>
      </c>
      <c r="B7" s="1" t="s">
        <v>7</v>
      </c>
      <c r="C7" s="1" t="s">
        <v>8</v>
      </c>
      <c r="D7" s="1" t="s">
        <v>8</v>
      </c>
      <c r="E7" s="1">
        <v>1</v>
      </c>
      <c r="F7" s="1">
        <v>0.89229879999948003</v>
      </c>
      <c r="G7" s="1">
        <f t="shared" si="0"/>
        <v>892.29879999948002</v>
      </c>
      <c r="I7" s="1" t="s">
        <v>34</v>
      </c>
      <c r="J7" s="1">
        <f>AVERAGEIF(B1:B201,"word",E1:E201)*100</f>
        <v>100</v>
      </c>
      <c r="K7" s="1">
        <f>COUNTIFS(B1:B201,"word",E1:E201,0)</f>
        <v>0</v>
      </c>
    </row>
    <row r="8" spans="1:11" x14ac:dyDescent="0.35">
      <c r="A8" s="1" t="s">
        <v>28</v>
      </c>
      <c r="B8" s="1" t="s">
        <v>10</v>
      </c>
      <c r="C8" s="1" t="s">
        <v>11</v>
      </c>
      <c r="D8" s="1" t="s">
        <v>11</v>
      </c>
      <c r="E8" s="1">
        <v>1</v>
      </c>
      <c r="F8" s="1">
        <v>3.4037019000006601</v>
      </c>
      <c r="G8" s="1">
        <f t="shared" si="0"/>
        <v>3403.7019000006599</v>
      </c>
      <c r="I8" s="1" t="s">
        <v>35</v>
      </c>
      <c r="J8" s="1">
        <f>AVERAGEIF(B1:B201,"nonword",E1:E201)*100</f>
        <v>82</v>
      </c>
      <c r="K8" s="1">
        <f>COUNTIFS(B1:B201,"nonword",E1:E201,0)</f>
        <v>18</v>
      </c>
    </row>
    <row r="9" spans="1:11" x14ac:dyDescent="0.35">
      <c r="A9" s="1" t="s">
        <v>24</v>
      </c>
      <c r="B9" s="1" t="s">
        <v>7</v>
      </c>
      <c r="C9" s="1" t="s">
        <v>8</v>
      </c>
      <c r="D9" s="1" t="s">
        <v>8</v>
      </c>
      <c r="E9" s="1">
        <v>1</v>
      </c>
      <c r="F9" s="1">
        <v>1.1187372999993299</v>
      </c>
      <c r="G9" s="1">
        <f t="shared" si="0"/>
        <v>1118.7372999993299</v>
      </c>
    </row>
    <row r="10" spans="1:11" x14ac:dyDescent="0.35">
      <c r="A10" s="1" t="s">
        <v>22</v>
      </c>
      <c r="B10" s="1" t="s">
        <v>7</v>
      </c>
      <c r="C10" s="1" t="s">
        <v>8</v>
      </c>
      <c r="D10" s="1" t="s">
        <v>8</v>
      </c>
      <c r="E10" s="1">
        <v>1</v>
      </c>
      <c r="F10" s="1">
        <v>0.76591899999948498</v>
      </c>
      <c r="G10" s="1">
        <f t="shared" si="0"/>
        <v>765.91899999948498</v>
      </c>
      <c r="I10" s="1" t="s">
        <v>36</v>
      </c>
      <c r="J10" s="1" t="s">
        <v>37</v>
      </c>
    </row>
    <row r="11" spans="1:11" x14ac:dyDescent="0.35">
      <c r="A11" s="1" t="s">
        <v>13</v>
      </c>
      <c r="B11" s="1" t="s">
        <v>7</v>
      </c>
      <c r="C11" s="1" t="s">
        <v>8</v>
      </c>
      <c r="D11" s="1" t="s">
        <v>8</v>
      </c>
      <c r="E11" s="1">
        <v>1</v>
      </c>
      <c r="F11" s="1">
        <v>0.57453820000046096</v>
      </c>
      <c r="G11" s="1">
        <f t="shared" si="0"/>
        <v>574.53820000046096</v>
      </c>
      <c r="I11" s="1" t="s">
        <v>34</v>
      </c>
      <c r="J11" s="1">
        <f>AVERAGEIF(B1:B201,"word",F1:F201)</f>
        <v>0.73533331600010499</v>
      </c>
    </row>
    <row r="12" spans="1:11" x14ac:dyDescent="0.35">
      <c r="A12" s="1" t="s">
        <v>12</v>
      </c>
      <c r="B12" s="1" t="s">
        <v>7</v>
      </c>
      <c r="C12" s="1" t="s">
        <v>8</v>
      </c>
      <c r="D12" s="1" t="s">
        <v>8</v>
      </c>
      <c r="E12" s="1">
        <v>1</v>
      </c>
      <c r="F12" s="1">
        <v>0.45457559999886099</v>
      </c>
      <c r="G12" s="1">
        <f t="shared" si="0"/>
        <v>454.57559999886098</v>
      </c>
      <c r="I12" s="1" t="s">
        <v>38</v>
      </c>
      <c r="J12" s="1">
        <f>AVERAGEIF(B1:B201,"nonword",F1:F201)</f>
        <v>1.404616957000014</v>
      </c>
    </row>
    <row r="13" spans="1:11" x14ac:dyDescent="0.35">
      <c r="A13" s="1" t="s">
        <v>14</v>
      </c>
      <c r="B13" s="1" t="s">
        <v>10</v>
      </c>
      <c r="C13" s="1" t="s">
        <v>11</v>
      </c>
      <c r="D13" s="1" t="s">
        <v>11</v>
      </c>
      <c r="E13" s="1">
        <v>1</v>
      </c>
      <c r="F13" s="1">
        <v>1.3840899000006099</v>
      </c>
      <c r="G13" s="1">
        <f t="shared" si="0"/>
        <v>1384.08990000061</v>
      </c>
    </row>
    <row r="14" spans="1:11" x14ac:dyDescent="0.35">
      <c r="A14" s="1" t="s">
        <v>26</v>
      </c>
      <c r="B14" s="1" t="s">
        <v>10</v>
      </c>
      <c r="C14" s="1" t="s">
        <v>11</v>
      </c>
      <c r="D14" s="1" t="s">
        <v>11</v>
      </c>
      <c r="E14" s="1">
        <v>1</v>
      </c>
      <c r="F14" s="1">
        <v>1.69580130000031</v>
      </c>
      <c r="G14" s="1">
        <f t="shared" si="0"/>
        <v>1695.80130000031</v>
      </c>
    </row>
    <row r="15" spans="1:11" x14ac:dyDescent="0.35">
      <c r="A15" s="1" t="s">
        <v>18</v>
      </c>
      <c r="B15" s="1" t="s">
        <v>7</v>
      </c>
      <c r="C15" s="1" t="s">
        <v>8</v>
      </c>
      <c r="D15" s="1" t="s">
        <v>8</v>
      </c>
      <c r="E15" s="1">
        <v>1</v>
      </c>
      <c r="F15" s="1">
        <v>0.56901779999861901</v>
      </c>
      <c r="G15" s="1">
        <f t="shared" si="0"/>
        <v>569.01779999861901</v>
      </c>
    </row>
    <row r="16" spans="1:11" x14ac:dyDescent="0.35">
      <c r="A16" s="1" t="s">
        <v>25</v>
      </c>
      <c r="B16" s="1" t="s">
        <v>10</v>
      </c>
      <c r="C16" s="1" t="s">
        <v>11</v>
      </c>
      <c r="D16" s="1" t="s">
        <v>8</v>
      </c>
      <c r="E16" s="1">
        <v>0</v>
      </c>
      <c r="F16" s="1">
        <v>2.6688030000004801</v>
      </c>
      <c r="G16" s="1">
        <f t="shared" si="0"/>
        <v>2668.8030000004801</v>
      </c>
    </row>
    <row r="17" spans="1:7" x14ac:dyDescent="0.35">
      <c r="A17" s="1" t="s">
        <v>29</v>
      </c>
      <c r="B17" s="1" t="s">
        <v>7</v>
      </c>
      <c r="C17" s="1" t="s">
        <v>8</v>
      </c>
      <c r="D17" s="1" t="s">
        <v>8</v>
      </c>
      <c r="E17" s="1">
        <v>1</v>
      </c>
      <c r="F17" s="1">
        <v>2.0951875999999099</v>
      </c>
      <c r="G17" s="1">
        <f t="shared" si="0"/>
        <v>2095.1875999999097</v>
      </c>
    </row>
    <row r="18" spans="1:7" x14ac:dyDescent="0.35">
      <c r="A18" s="1" t="s">
        <v>27</v>
      </c>
      <c r="B18" s="1" t="s">
        <v>7</v>
      </c>
      <c r="C18" s="1" t="s">
        <v>8</v>
      </c>
      <c r="D18" s="1" t="s">
        <v>8</v>
      </c>
      <c r="E18" s="1">
        <v>1</v>
      </c>
      <c r="F18" s="1">
        <v>0.53302400000029504</v>
      </c>
      <c r="G18" s="1">
        <f t="shared" si="0"/>
        <v>533.02400000029502</v>
      </c>
    </row>
    <row r="19" spans="1:7" x14ac:dyDescent="0.35">
      <c r="A19" s="1" t="s">
        <v>20</v>
      </c>
      <c r="B19" s="1" t="s">
        <v>10</v>
      </c>
      <c r="C19" s="1" t="s">
        <v>11</v>
      </c>
      <c r="D19" s="1" t="s">
        <v>11</v>
      </c>
      <c r="E19" s="1">
        <v>1</v>
      </c>
      <c r="F19" s="1">
        <v>1.3046687999994899</v>
      </c>
      <c r="G19" s="1">
        <f t="shared" si="0"/>
        <v>1304.6687999994899</v>
      </c>
    </row>
    <row r="20" spans="1:7" x14ac:dyDescent="0.35">
      <c r="A20" s="1" t="s">
        <v>15</v>
      </c>
      <c r="B20" s="1" t="s">
        <v>7</v>
      </c>
      <c r="C20" s="1" t="s">
        <v>8</v>
      </c>
      <c r="D20" s="1" t="s">
        <v>8</v>
      </c>
      <c r="E20" s="1">
        <v>1</v>
      </c>
      <c r="F20" s="1">
        <v>0.68427169999995296</v>
      </c>
      <c r="G20" s="1">
        <f t="shared" si="0"/>
        <v>684.27169999995294</v>
      </c>
    </row>
    <row r="21" spans="1:7" x14ac:dyDescent="0.35">
      <c r="A21" s="1" t="s">
        <v>21</v>
      </c>
      <c r="B21" s="1" t="s">
        <v>10</v>
      </c>
      <c r="C21" s="1" t="s">
        <v>11</v>
      </c>
      <c r="D21" s="1" t="s">
        <v>11</v>
      </c>
      <c r="E21" s="1">
        <v>1</v>
      </c>
      <c r="F21" s="1">
        <v>1.5366584000003001</v>
      </c>
      <c r="G21" s="1">
        <f t="shared" si="0"/>
        <v>1536.6584000003002</v>
      </c>
    </row>
    <row r="22" spans="1:7" x14ac:dyDescent="0.35">
      <c r="A22" s="1" t="s">
        <v>26</v>
      </c>
      <c r="B22" s="1" t="s">
        <v>10</v>
      </c>
      <c r="C22" s="1" t="s">
        <v>11</v>
      </c>
      <c r="D22" s="1" t="s">
        <v>11</v>
      </c>
      <c r="E22" s="1">
        <v>1</v>
      </c>
      <c r="F22" s="1">
        <v>1.7204985999997</v>
      </c>
      <c r="G22" s="1">
        <f t="shared" si="0"/>
        <v>1720.4985999997</v>
      </c>
    </row>
    <row r="23" spans="1:7" x14ac:dyDescent="0.35">
      <c r="A23" s="1" t="s">
        <v>13</v>
      </c>
      <c r="B23" s="1" t="s">
        <v>7</v>
      </c>
      <c r="C23" s="1" t="s">
        <v>8</v>
      </c>
      <c r="D23" s="1" t="s">
        <v>8</v>
      </c>
      <c r="E23" s="1">
        <v>1</v>
      </c>
      <c r="F23" s="1">
        <v>0.82171240000025103</v>
      </c>
      <c r="G23" s="1">
        <f t="shared" si="0"/>
        <v>821.71240000025102</v>
      </c>
    </row>
    <row r="24" spans="1:7" x14ac:dyDescent="0.35">
      <c r="A24" s="1" t="s">
        <v>23</v>
      </c>
      <c r="B24" s="1" t="s">
        <v>10</v>
      </c>
      <c r="C24" s="1" t="s">
        <v>11</v>
      </c>
      <c r="D24" s="1" t="s">
        <v>11</v>
      </c>
      <c r="E24" s="1">
        <v>1</v>
      </c>
      <c r="F24" s="1">
        <v>2.65757419999863</v>
      </c>
      <c r="G24" s="1">
        <f t="shared" si="0"/>
        <v>2657.5741999986299</v>
      </c>
    </row>
    <row r="25" spans="1:7" x14ac:dyDescent="0.35">
      <c r="A25" s="1" t="s">
        <v>12</v>
      </c>
      <c r="B25" s="1" t="s">
        <v>7</v>
      </c>
      <c r="C25" s="1" t="s">
        <v>8</v>
      </c>
      <c r="D25" s="1" t="s">
        <v>8</v>
      </c>
      <c r="E25" s="1">
        <v>1</v>
      </c>
      <c r="F25" s="1">
        <v>0.56483429999934698</v>
      </c>
      <c r="G25" s="1">
        <f t="shared" si="0"/>
        <v>564.83429999934697</v>
      </c>
    </row>
    <row r="26" spans="1:7" x14ac:dyDescent="0.35">
      <c r="A26" s="1" t="s">
        <v>21</v>
      </c>
      <c r="B26" s="1" t="s">
        <v>10</v>
      </c>
      <c r="C26" s="1" t="s">
        <v>11</v>
      </c>
      <c r="D26" s="1" t="s">
        <v>11</v>
      </c>
      <c r="E26" s="1">
        <v>1</v>
      </c>
      <c r="F26" s="1">
        <v>3.6214624000003801</v>
      </c>
      <c r="G26" s="1">
        <f t="shared" si="0"/>
        <v>3621.4624000003801</v>
      </c>
    </row>
    <row r="27" spans="1:7" x14ac:dyDescent="0.35">
      <c r="A27" s="1" t="s">
        <v>28</v>
      </c>
      <c r="B27" s="1" t="s">
        <v>10</v>
      </c>
      <c r="C27" s="1" t="s">
        <v>11</v>
      </c>
      <c r="D27" s="1" t="s">
        <v>11</v>
      </c>
      <c r="E27" s="1">
        <v>1</v>
      </c>
      <c r="F27" s="1">
        <v>1.3570560000007299</v>
      </c>
      <c r="G27" s="1">
        <f t="shared" si="0"/>
        <v>1357.0560000007299</v>
      </c>
    </row>
    <row r="28" spans="1:7" x14ac:dyDescent="0.35">
      <c r="A28" s="1" t="s">
        <v>15</v>
      </c>
      <c r="B28" s="1" t="s">
        <v>7</v>
      </c>
      <c r="C28" s="1" t="s">
        <v>8</v>
      </c>
      <c r="D28" s="1" t="s">
        <v>8</v>
      </c>
      <c r="E28" s="1">
        <v>1</v>
      </c>
      <c r="F28" s="1">
        <v>0.51846950000071901</v>
      </c>
      <c r="G28" s="1">
        <f t="shared" si="0"/>
        <v>518.46950000071899</v>
      </c>
    </row>
    <row r="29" spans="1:7" x14ac:dyDescent="0.35">
      <c r="A29" s="1" t="s">
        <v>17</v>
      </c>
      <c r="B29" s="1" t="s">
        <v>10</v>
      </c>
      <c r="C29" s="1" t="s">
        <v>11</v>
      </c>
      <c r="D29" s="1" t="s">
        <v>11</v>
      </c>
      <c r="E29" s="1">
        <v>1</v>
      </c>
      <c r="F29" s="1">
        <v>1.30224610000004</v>
      </c>
      <c r="G29" s="1">
        <f t="shared" si="0"/>
        <v>1302.2461000000401</v>
      </c>
    </row>
    <row r="30" spans="1:7" x14ac:dyDescent="0.35">
      <c r="A30" s="1" t="s">
        <v>27</v>
      </c>
      <c r="B30" s="1" t="s">
        <v>7</v>
      </c>
      <c r="C30" s="1" t="s">
        <v>8</v>
      </c>
      <c r="D30" s="1" t="s">
        <v>8</v>
      </c>
      <c r="E30" s="1">
        <v>1</v>
      </c>
      <c r="F30" s="1">
        <v>0.49935370000093798</v>
      </c>
      <c r="G30" s="1">
        <f t="shared" si="0"/>
        <v>499.35370000093798</v>
      </c>
    </row>
    <row r="31" spans="1:7" x14ac:dyDescent="0.35">
      <c r="A31" s="1" t="s">
        <v>6</v>
      </c>
      <c r="B31" s="1" t="s">
        <v>7</v>
      </c>
      <c r="C31" s="1" t="s">
        <v>8</v>
      </c>
      <c r="D31" s="1" t="s">
        <v>8</v>
      </c>
      <c r="E31" s="1">
        <v>1</v>
      </c>
      <c r="F31" s="1">
        <v>0.49527140000100101</v>
      </c>
      <c r="G31" s="1">
        <f t="shared" si="0"/>
        <v>495.27140000100098</v>
      </c>
    </row>
    <row r="32" spans="1:7" x14ac:dyDescent="0.35">
      <c r="A32" s="1" t="s">
        <v>19</v>
      </c>
      <c r="B32" s="1" t="s">
        <v>7</v>
      </c>
      <c r="C32" s="1" t="s">
        <v>8</v>
      </c>
      <c r="D32" s="1" t="s">
        <v>8</v>
      </c>
      <c r="E32" s="1">
        <v>1</v>
      </c>
      <c r="F32" s="1">
        <v>0.40882349999992501</v>
      </c>
      <c r="G32" s="1">
        <f t="shared" si="0"/>
        <v>408.82349999992499</v>
      </c>
    </row>
    <row r="33" spans="1:7" x14ac:dyDescent="0.35">
      <c r="A33" s="1" t="s">
        <v>9</v>
      </c>
      <c r="B33" s="1" t="s">
        <v>10</v>
      </c>
      <c r="C33" s="1" t="s">
        <v>11</v>
      </c>
      <c r="D33" s="1" t="s">
        <v>11</v>
      </c>
      <c r="E33" s="1">
        <v>1</v>
      </c>
      <c r="F33" s="1">
        <v>1.3711050000001701</v>
      </c>
      <c r="G33" s="1">
        <f t="shared" si="0"/>
        <v>1371.1050000001701</v>
      </c>
    </row>
    <row r="34" spans="1:7" x14ac:dyDescent="0.35">
      <c r="A34" s="1" t="s">
        <v>18</v>
      </c>
      <c r="B34" s="1" t="s">
        <v>7</v>
      </c>
      <c r="C34" s="1" t="s">
        <v>8</v>
      </c>
      <c r="D34" s="1" t="s">
        <v>8</v>
      </c>
      <c r="E34" s="1">
        <v>1</v>
      </c>
      <c r="F34" s="1">
        <v>0.98256829999991102</v>
      </c>
      <c r="G34" s="1">
        <f t="shared" si="0"/>
        <v>982.56829999991101</v>
      </c>
    </row>
    <row r="35" spans="1:7" x14ac:dyDescent="0.35">
      <c r="A35" s="1" t="s">
        <v>24</v>
      </c>
      <c r="B35" s="1" t="s">
        <v>7</v>
      </c>
      <c r="C35" s="1" t="s">
        <v>8</v>
      </c>
      <c r="D35" s="1" t="s">
        <v>8</v>
      </c>
      <c r="E35" s="1">
        <v>1</v>
      </c>
      <c r="F35" s="1">
        <v>1.0539816000000399</v>
      </c>
      <c r="G35" s="1">
        <f t="shared" si="0"/>
        <v>1053.9816000000399</v>
      </c>
    </row>
    <row r="36" spans="1:7" x14ac:dyDescent="0.35">
      <c r="A36" s="1" t="s">
        <v>14</v>
      </c>
      <c r="B36" s="1" t="s">
        <v>10</v>
      </c>
      <c r="C36" s="1" t="s">
        <v>11</v>
      </c>
      <c r="D36" s="1" t="s">
        <v>11</v>
      </c>
      <c r="E36" s="1">
        <v>1</v>
      </c>
      <c r="F36" s="1">
        <v>1.21674050000001</v>
      </c>
      <c r="G36" s="1">
        <f t="shared" si="0"/>
        <v>1216.7405000000099</v>
      </c>
    </row>
    <row r="37" spans="1:7" x14ac:dyDescent="0.35">
      <c r="A37" s="1" t="s">
        <v>29</v>
      </c>
      <c r="B37" s="1" t="s">
        <v>7</v>
      </c>
      <c r="C37" s="1" t="s">
        <v>8</v>
      </c>
      <c r="D37" s="1" t="s">
        <v>8</v>
      </c>
      <c r="E37" s="1">
        <v>1</v>
      </c>
      <c r="F37" s="1">
        <v>0.58812009999928705</v>
      </c>
      <c r="G37" s="1">
        <f t="shared" si="0"/>
        <v>588.12009999928705</v>
      </c>
    </row>
    <row r="38" spans="1:7" x14ac:dyDescent="0.35">
      <c r="A38" s="1" t="s">
        <v>16</v>
      </c>
      <c r="B38" s="1" t="s">
        <v>10</v>
      </c>
      <c r="C38" s="1" t="s">
        <v>11</v>
      </c>
      <c r="D38" s="1" t="s">
        <v>11</v>
      </c>
      <c r="E38" s="1">
        <v>1</v>
      </c>
      <c r="F38" s="1">
        <v>1.38183180000123</v>
      </c>
      <c r="G38" s="1">
        <f t="shared" si="0"/>
        <v>1381.83180000123</v>
      </c>
    </row>
    <row r="39" spans="1:7" x14ac:dyDescent="0.35">
      <c r="A39" s="1" t="s">
        <v>20</v>
      </c>
      <c r="B39" s="1" t="s">
        <v>10</v>
      </c>
      <c r="C39" s="1" t="s">
        <v>11</v>
      </c>
      <c r="D39" s="1" t="s">
        <v>8</v>
      </c>
      <c r="E39" s="1">
        <v>0</v>
      </c>
      <c r="F39" s="1">
        <v>0.56212420000156205</v>
      </c>
      <c r="G39" s="1">
        <f t="shared" si="0"/>
        <v>562.12420000156203</v>
      </c>
    </row>
    <row r="40" spans="1:7" x14ac:dyDescent="0.35">
      <c r="A40" s="1" t="s">
        <v>22</v>
      </c>
      <c r="B40" s="1" t="s">
        <v>7</v>
      </c>
      <c r="C40" s="1" t="s">
        <v>8</v>
      </c>
      <c r="D40" s="1" t="s">
        <v>8</v>
      </c>
      <c r="E40" s="1">
        <v>1</v>
      </c>
      <c r="F40" s="1">
        <v>0.563196699999025</v>
      </c>
      <c r="G40" s="1">
        <f t="shared" si="0"/>
        <v>563.19669999902499</v>
      </c>
    </row>
    <row r="41" spans="1:7" x14ac:dyDescent="0.35">
      <c r="A41" s="1" t="s">
        <v>25</v>
      </c>
      <c r="B41" s="1" t="s">
        <v>10</v>
      </c>
      <c r="C41" s="1" t="s">
        <v>11</v>
      </c>
      <c r="D41" s="1" t="s">
        <v>8</v>
      </c>
      <c r="E41" s="1">
        <v>0</v>
      </c>
      <c r="F41" s="1">
        <v>0.81961569999839401</v>
      </c>
      <c r="G41" s="1">
        <f t="shared" si="0"/>
        <v>819.61569999839401</v>
      </c>
    </row>
    <row r="42" spans="1:7" x14ac:dyDescent="0.35">
      <c r="A42" s="1" t="s">
        <v>19</v>
      </c>
      <c r="B42" s="1" t="s">
        <v>7</v>
      </c>
      <c r="C42" s="1" t="s">
        <v>8</v>
      </c>
      <c r="D42" s="1" t="s">
        <v>8</v>
      </c>
      <c r="E42" s="1">
        <v>1</v>
      </c>
      <c r="F42" s="1">
        <v>0.70826280000073805</v>
      </c>
      <c r="G42" s="1">
        <f t="shared" si="0"/>
        <v>708.26280000073803</v>
      </c>
    </row>
    <row r="43" spans="1:7" x14ac:dyDescent="0.35">
      <c r="A43" s="1" t="s">
        <v>26</v>
      </c>
      <c r="B43" s="1" t="s">
        <v>10</v>
      </c>
      <c r="C43" s="1" t="s">
        <v>11</v>
      </c>
      <c r="D43" s="1" t="s">
        <v>11</v>
      </c>
      <c r="E43" s="1">
        <v>1</v>
      </c>
      <c r="F43" s="1">
        <v>0.78994649999913202</v>
      </c>
      <c r="G43" s="1">
        <f t="shared" si="0"/>
        <v>789.94649999913202</v>
      </c>
    </row>
    <row r="44" spans="1:7" x14ac:dyDescent="0.35">
      <c r="A44" s="1" t="s">
        <v>22</v>
      </c>
      <c r="B44" s="1" t="s">
        <v>7</v>
      </c>
      <c r="C44" s="1" t="s">
        <v>8</v>
      </c>
      <c r="D44" s="1" t="s">
        <v>8</v>
      </c>
      <c r="E44" s="1">
        <v>1</v>
      </c>
      <c r="F44" s="1">
        <v>0.48640809999960699</v>
      </c>
      <c r="G44" s="1">
        <f t="shared" si="0"/>
        <v>486.40809999960697</v>
      </c>
    </row>
    <row r="45" spans="1:7" x14ac:dyDescent="0.35">
      <c r="A45" s="1" t="s">
        <v>28</v>
      </c>
      <c r="B45" s="1" t="s">
        <v>10</v>
      </c>
      <c r="C45" s="1" t="s">
        <v>11</v>
      </c>
      <c r="D45" s="1" t="s">
        <v>11</v>
      </c>
      <c r="E45" s="1">
        <v>1</v>
      </c>
      <c r="F45" s="1">
        <v>0.93347010000070396</v>
      </c>
      <c r="G45" s="1">
        <f t="shared" si="0"/>
        <v>933.47010000070395</v>
      </c>
    </row>
    <row r="46" spans="1:7" x14ac:dyDescent="0.35">
      <c r="A46" s="1" t="s">
        <v>29</v>
      </c>
      <c r="B46" s="1" t="s">
        <v>7</v>
      </c>
      <c r="C46" s="1" t="s">
        <v>8</v>
      </c>
      <c r="D46" s="1" t="s">
        <v>8</v>
      </c>
      <c r="E46" s="1">
        <v>1</v>
      </c>
      <c r="F46" s="1">
        <v>0.52569460000086099</v>
      </c>
      <c r="G46" s="1">
        <f t="shared" si="0"/>
        <v>525.69460000086099</v>
      </c>
    </row>
    <row r="47" spans="1:7" x14ac:dyDescent="0.35">
      <c r="A47" s="1" t="s">
        <v>9</v>
      </c>
      <c r="B47" s="1" t="s">
        <v>10</v>
      </c>
      <c r="C47" s="1" t="s">
        <v>11</v>
      </c>
      <c r="D47" s="1" t="s">
        <v>11</v>
      </c>
      <c r="E47" s="1">
        <v>1</v>
      </c>
      <c r="F47" s="1">
        <v>6.4837532000001303</v>
      </c>
      <c r="G47" s="1">
        <f t="shared" si="0"/>
        <v>6483.7532000001302</v>
      </c>
    </row>
    <row r="48" spans="1:7" x14ac:dyDescent="0.35">
      <c r="A48" s="1" t="s">
        <v>23</v>
      </c>
      <c r="B48" s="1" t="s">
        <v>10</v>
      </c>
      <c r="C48" s="1" t="s">
        <v>11</v>
      </c>
      <c r="D48" s="1" t="s">
        <v>11</v>
      </c>
      <c r="E48" s="1">
        <v>1</v>
      </c>
      <c r="F48" s="1">
        <v>1.5521057999994801</v>
      </c>
      <c r="G48" s="1">
        <f t="shared" si="0"/>
        <v>1552.10579999948</v>
      </c>
    </row>
    <row r="49" spans="1:7" x14ac:dyDescent="0.35">
      <c r="A49" s="1" t="s">
        <v>6</v>
      </c>
      <c r="B49" s="1" t="s">
        <v>7</v>
      </c>
      <c r="C49" s="1" t="s">
        <v>8</v>
      </c>
      <c r="D49" s="1" t="s">
        <v>8</v>
      </c>
      <c r="E49" s="1">
        <v>1</v>
      </c>
      <c r="F49" s="1">
        <v>0.56017259999862201</v>
      </c>
      <c r="G49" s="1">
        <f t="shared" si="0"/>
        <v>560.17259999862199</v>
      </c>
    </row>
    <row r="50" spans="1:7" x14ac:dyDescent="0.35">
      <c r="A50" s="1" t="s">
        <v>17</v>
      </c>
      <c r="B50" s="1" t="s">
        <v>10</v>
      </c>
      <c r="C50" s="1" t="s">
        <v>11</v>
      </c>
      <c r="D50" s="1" t="s">
        <v>11</v>
      </c>
      <c r="E50" s="1">
        <v>1</v>
      </c>
      <c r="F50" s="1">
        <v>0.84230430000025003</v>
      </c>
      <c r="G50" s="1">
        <f t="shared" si="0"/>
        <v>842.30430000025001</v>
      </c>
    </row>
    <row r="51" spans="1:7" x14ac:dyDescent="0.35">
      <c r="A51" s="1" t="s">
        <v>27</v>
      </c>
      <c r="B51" s="1" t="s">
        <v>7</v>
      </c>
      <c r="C51" s="1" t="s">
        <v>8</v>
      </c>
      <c r="D51" s="1" t="s">
        <v>8</v>
      </c>
      <c r="E51" s="1">
        <v>1</v>
      </c>
      <c r="F51" s="1">
        <v>0.54044080000130601</v>
      </c>
      <c r="G51" s="1">
        <f t="shared" si="0"/>
        <v>540.440800001306</v>
      </c>
    </row>
    <row r="52" spans="1:7" x14ac:dyDescent="0.35">
      <c r="A52" s="1" t="s">
        <v>14</v>
      </c>
      <c r="B52" s="1" t="s">
        <v>10</v>
      </c>
      <c r="C52" s="1" t="s">
        <v>11</v>
      </c>
      <c r="D52" s="1" t="s">
        <v>11</v>
      </c>
      <c r="E52" s="1">
        <v>1</v>
      </c>
      <c r="F52" s="1">
        <v>1.23767399999997</v>
      </c>
      <c r="G52" s="1">
        <f t="shared" si="0"/>
        <v>1237.67399999997</v>
      </c>
    </row>
    <row r="53" spans="1:7" x14ac:dyDescent="0.35">
      <c r="A53" s="1" t="s">
        <v>12</v>
      </c>
      <c r="B53" s="1" t="s">
        <v>7</v>
      </c>
      <c r="C53" s="1" t="s">
        <v>8</v>
      </c>
      <c r="D53" s="1" t="s">
        <v>8</v>
      </c>
      <c r="E53" s="1">
        <v>1</v>
      </c>
      <c r="F53" s="1">
        <v>0.60692830000152698</v>
      </c>
      <c r="G53" s="1">
        <f t="shared" si="0"/>
        <v>606.92830000152696</v>
      </c>
    </row>
    <row r="54" spans="1:7" x14ac:dyDescent="0.35">
      <c r="A54" s="1" t="s">
        <v>24</v>
      </c>
      <c r="B54" s="1" t="s">
        <v>7</v>
      </c>
      <c r="C54" s="1" t="s">
        <v>8</v>
      </c>
      <c r="D54" s="1" t="s">
        <v>8</v>
      </c>
      <c r="E54" s="1">
        <v>1</v>
      </c>
      <c r="F54" s="1">
        <v>0.60552260000076696</v>
      </c>
      <c r="G54" s="1">
        <f t="shared" si="0"/>
        <v>605.52260000076694</v>
      </c>
    </row>
    <row r="55" spans="1:7" x14ac:dyDescent="0.35">
      <c r="A55" s="1" t="s">
        <v>21</v>
      </c>
      <c r="B55" s="1" t="s">
        <v>10</v>
      </c>
      <c r="C55" s="1" t="s">
        <v>11</v>
      </c>
      <c r="D55" s="1" t="s">
        <v>11</v>
      </c>
      <c r="E55" s="1">
        <v>1</v>
      </c>
      <c r="F55" s="1">
        <v>1.3034236999992499</v>
      </c>
      <c r="G55" s="1">
        <f t="shared" si="0"/>
        <v>1303.4236999992499</v>
      </c>
    </row>
    <row r="56" spans="1:7" x14ac:dyDescent="0.35">
      <c r="A56" s="1" t="s">
        <v>18</v>
      </c>
      <c r="B56" s="1" t="s">
        <v>7</v>
      </c>
      <c r="C56" s="1" t="s">
        <v>8</v>
      </c>
      <c r="D56" s="1" t="s">
        <v>8</v>
      </c>
      <c r="E56" s="1">
        <v>1</v>
      </c>
      <c r="F56" s="1">
        <v>0.59343639999860898</v>
      </c>
      <c r="G56" s="1">
        <f t="shared" si="0"/>
        <v>593.43639999860898</v>
      </c>
    </row>
    <row r="57" spans="1:7" x14ac:dyDescent="0.35">
      <c r="A57" s="1" t="s">
        <v>25</v>
      </c>
      <c r="B57" s="1" t="s">
        <v>10</v>
      </c>
      <c r="C57" s="1" t="s">
        <v>11</v>
      </c>
      <c r="D57" s="1" t="s">
        <v>8</v>
      </c>
      <c r="E57" s="1">
        <v>0</v>
      </c>
      <c r="F57" s="1">
        <v>1.89156670000011</v>
      </c>
      <c r="G57" s="1">
        <f t="shared" si="0"/>
        <v>1891.5667000001099</v>
      </c>
    </row>
    <row r="58" spans="1:7" x14ac:dyDescent="0.35">
      <c r="A58" s="1" t="s">
        <v>16</v>
      </c>
      <c r="B58" s="1" t="s">
        <v>10</v>
      </c>
      <c r="C58" s="1" t="s">
        <v>11</v>
      </c>
      <c r="D58" s="1" t="s">
        <v>11</v>
      </c>
      <c r="E58" s="1">
        <v>1</v>
      </c>
      <c r="F58" s="1">
        <v>1.0722688000005201</v>
      </c>
      <c r="G58" s="1">
        <f t="shared" si="0"/>
        <v>1072.2688000005201</v>
      </c>
    </row>
    <row r="59" spans="1:7" x14ac:dyDescent="0.35">
      <c r="A59" s="1" t="s">
        <v>20</v>
      </c>
      <c r="B59" s="1" t="s">
        <v>10</v>
      </c>
      <c r="C59" s="1" t="s">
        <v>11</v>
      </c>
      <c r="D59" s="1" t="s">
        <v>11</v>
      </c>
      <c r="E59" s="1">
        <v>1</v>
      </c>
      <c r="F59" s="1">
        <v>1.0608324999993699</v>
      </c>
      <c r="G59" s="1">
        <f t="shared" si="0"/>
        <v>1060.8324999993699</v>
      </c>
    </row>
    <row r="60" spans="1:7" x14ac:dyDescent="0.35">
      <c r="A60" s="1" t="s">
        <v>15</v>
      </c>
      <c r="B60" s="1" t="s">
        <v>7</v>
      </c>
      <c r="C60" s="1" t="s">
        <v>8</v>
      </c>
      <c r="D60" s="1" t="s">
        <v>8</v>
      </c>
      <c r="E60" s="1">
        <v>1</v>
      </c>
      <c r="F60" s="1">
        <v>0.59593580000000601</v>
      </c>
      <c r="G60" s="1">
        <f t="shared" si="0"/>
        <v>595.935800000006</v>
      </c>
    </row>
    <row r="61" spans="1:7" x14ac:dyDescent="0.35">
      <c r="A61" s="1" t="s">
        <v>13</v>
      </c>
      <c r="B61" s="1" t="s">
        <v>7</v>
      </c>
      <c r="C61" s="1" t="s">
        <v>8</v>
      </c>
      <c r="D61" s="1" t="s">
        <v>8</v>
      </c>
      <c r="E61" s="1">
        <v>1</v>
      </c>
      <c r="F61" s="1">
        <v>1.0588157000001901</v>
      </c>
      <c r="G61" s="1">
        <f t="shared" si="0"/>
        <v>1058.8157000001902</v>
      </c>
    </row>
    <row r="62" spans="1:7" x14ac:dyDescent="0.35">
      <c r="A62" s="1" t="s">
        <v>13</v>
      </c>
      <c r="B62" s="1" t="s">
        <v>7</v>
      </c>
      <c r="C62" s="1" t="s">
        <v>8</v>
      </c>
      <c r="D62" s="1" t="s">
        <v>8</v>
      </c>
      <c r="E62" s="1">
        <v>1</v>
      </c>
      <c r="F62" s="1">
        <v>0.47431230000074698</v>
      </c>
      <c r="G62" s="1">
        <f t="shared" si="0"/>
        <v>474.31230000074697</v>
      </c>
    </row>
    <row r="63" spans="1:7" x14ac:dyDescent="0.35">
      <c r="A63" s="1" t="s">
        <v>21</v>
      </c>
      <c r="B63" s="1" t="s">
        <v>10</v>
      </c>
      <c r="C63" s="1" t="s">
        <v>11</v>
      </c>
      <c r="D63" s="1" t="s">
        <v>11</v>
      </c>
      <c r="E63" s="1">
        <v>1</v>
      </c>
      <c r="F63" s="1">
        <v>0.91087519999928102</v>
      </c>
      <c r="G63" s="1">
        <f t="shared" si="0"/>
        <v>910.87519999928099</v>
      </c>
    </row>
    <row r="64" spans="1:7" x14ac:dyDescent="0.35">
      <c r="A64" s="1" t="s">
        <v>23</v>
      </c>
      <c r="B64" s="1" t="s">
        <v>10</v>
      </c>
      <c r="C64" s="1" t="s">
        <v>11</v>
      </c>
      <c r="D64" s="1" t="s">
        <v>11</v>
      </c>
      <c r="E64" s="1">
        <v>1</v>
      </c>
      <c r="F64" s="1">
        <v>2.4029259999988399</v>
      </c>
      <c r="G64" s="1">
        <f t="shared" si="0"/>
        <v>2402.9259999988399</v>
      </c>
    </row>
    <row r="65" spans="1:7" x14ac:dyDescent="0.35">
      <c r="A65" s="1" t="s">
        <v>9</v>
      </c>
      <c r="B65" s="1" t="s">
        <v>10</v>
      </c>
      <c r="C65" s="1" t="s">
        <v>11</v>
      </c>
      <c r="D65" s="1" t="s">
        <v>11</v>
      </c>
      <c r="E65" s="1">
        <v>1</v>
      </c>
      <c r="F65" s="1">
        <v>0.90498860000116099</v>
      </c>
      <c r="G65" s="1">
        <f t="shared" si="0"/>
        <v>904.98860000116099</v>
      </c>
    </row>
    <row r="66" spans="1:7" x14ac:dyDescent="0.35">
      <c r="A66" s="1" t="s">
        <v>26</v>
      </c>
      <c r="B66" s="1" t="s">
        <v>10</v>
      </c>
      <c r="C66" s="1" t="s">
        <v>11</v>
      </c>
      <c r="D66" s="1" t="s">
        <v>11</v>
      </c>
      <c r="E66" s="1">
        <v>1</v>
      </c>
      <c r="F66" s="1">
        <v>1.41329339999902</v>
      </c>
      <c r="G66" s="1">
        <f t="shared" si="0"/>
        <v>1413.29339999902</v>
      </c>
    </row>
    <row r="67" spans="1:7" x14ac:dyDescent="0.35">
      <c r="A67" s="1" t="s">
        <v>6</v>
      </c>
      <c r="B67" s="1" t="s">
        <v>7</v>
      </c>
      <c r="C67" s="1" t="s">
        <v>8</v>
      </c>
      <c r="D67" s="1" t="s">
        <v>8</v>
      </c>
      <c r="E67" s="1">
        <v>1</v>
      </c>
      <c r="F67" s="1">
        <v>0.51885399999991899</v>
      </c>
      <c r="G67" s="1">
        <f t="shared" ref="G67:G130" si="1">F67*1000</f>
        <v>518.85399999991898</v>
      </c>
    </row>
    <row r="68" spans="1:7" x14ac:dyDescent="0.35">
      <c r="A68" s="1" t="s">
        <v>27</v>
      </c>
      <c r="B68" s="1" t="s">
        <v>7</v>
      </c>
      <c r="C68" s="1" t="s">
        <v>8</v>
      </c>
      <c r="D68" s="1" t="s">
        <v>8</v>
      </c>
      <c r="E68" s="1">
        <v>1</v>
      </c>
      <c r="F68" s="1">
        <v>0.54484830000001205</v>
      </c>
      <c r="G68" s="1">
        <f t="shared" si="1"/>
        <v>544.84830000001205</v>
      </c>
    </row>
    <row r="69" spans="1:7" x14ac:dyDescent="0.35">
      <c r="A69" s="1" t="s">
        <v>25</v>
      </c>
      <c r="B69" s="1" t="s">
        <v>10</v>
      </c>
      <c r="C69" s="1" t="s">
        <v>11</v>
      </c>
      <c r="D69" s="1" t="s">
        <v>8</v>
      </c>
      <c r="E69" s="1">
        <v>0</v>
      </c>
      <c r="F69" s="1">
        <v>1.5656978000006301</v>
      </c>
      <c r="G69" s="1">
        <f t="shared" si="1"/>
        <v>1565.69780000063</v>
      </c>
    </row>
    <row r="70" spans="1:7" x14ac:dyDescent="0.35">
      <c r="A70" s="1" t="s">
        <v>29</v>
      </c>
      <c r="B70" s="1" t="s">
        <v>7</v>
      </c>
      <c r="C70" s="1" t="s">
        <v>8</v>
      </c>
      <c r="D70" s="1" t="s">
        <v>8</v>
      </c>
      <c r="E70" s="1">
        <v>1</v>
      </c>
      <c r="F70" s="1">
        <v>0.52642329999980497</v>
      </c>
      <c r="G70" s="1">
        <f t="shared" si="1"/>
        <v>526.42329999980495</v>
      </c>
    </row>
    <row r="71" spans="1:7" x14ac:dyDescent="0.35">
      <c r="A71" s="1" t="s">
        <v>17</v>
      </c>
      <c r="B71" s="1" t="s">
        <v>10</v>
      </c>
      <c r="C71" s="1" t="s">
        <v>11</v>
      </c>
      <c r="D71" s="1" t="s">
        <v>11</v>
      </c>
      <c r="E71" s="1">
        <v>1</v>
      </c>
      <c r="F71" s="1">
        <v>1.47696719999839</v>
      </c>
      <c r="G71" s="1">
        <f t="shared" si="1"/>
        <v>1476.96719999839</v>
      </c>
    </row>
    <row r="72" spans="1:7" x14ac:dyDescent="0.35">
      <c r="A72" s="1" t="s">
        <v>22</v>
      </c>
      <c r="B72" s="1" t="s">
        <v>7</v>
      </c>
      <c r="C72" s="1" t="s">
        <v>8</v>
      </c>
      <c r="D72" s="1" t="s">
        <v>8</v>
      </c>
      <c r="E72" s="1">
        <v>1</v>
      </c>
      <c r="F72" s="1">
        <v>0.51561849999961795</v>
      </c>
      <c r="G72" s="1">
        <f t="shared" si="1"/>
        <v>515.61849999961794</v>
      </c>
    </row>
    <row r="73" spans="1:7" x14ac:dyDescent="0.35">
      <c r="A73" s="1" t="s">
        <v>15</v>
      </c>
      <c r="B73" s="1" t="s">
        <v>7</v>
      </c>
      <c r="C73" s="1" t="s">
        <v>8</v>
      </c>
      <c r="D73" s="1" t="s">
        <v>8</v>
      </c>
      <c r="E73" s="1">
        <v>1</v>
      </c>
      <c r="F73" s="1">
        <v>0.81974020000052406</v>
      </c>
      <c r="G73" s="1">
        <f t="shared" si="1"/>
        <v>819.74020000052406</v>
      </c>
    </row>
    <row r="74" spans="1:7" x14ac:dyDescent="0.35">
      <c r="A74" s="1" t="s">
        <v>12</v>
      </c>
      <c r="B74" s="1" t="s">
        <v>7</v>
      </c>
      <c r="C74" s="1" t="s">
        <v>8</v>
      </c>
      <c r="D74" s="1" t="s">
        <v>8</v>
      </c>
      <c r="E74" s="1">
        <v>1</v>
      </c>
      <c r="F74" s="1">
        <v>0.52015270000083502</v>
      </c>
      <c r="G74" s="1">
        <f t="shared" si="1"/>
        <v>520.15270000083501</v>
      </c>
    </row>
    <row r="75" spans="1:7" x14ac:dyDescent="0.35">
      <c r="A75" s="1" t="s">
        <v>19</v>
      </c>
      <c r="B75" s="1" t="s">
        <v>7</v>
      </c>
      <c r="C75" s="1" t="s">
        <v>8</v>
      </c>
      <c r="D75" s="1" t="s">
        <v>8</v>
      </c>
      <c r="E75" s="1">
        <v>1</v>
      </c>
      <c r="F75" s="1">
        <v>0.60043430000041498</v>
      </c>
      <c r="G75" s="1">
        <f t="shared" si="1"/>
        <v>600.43430000041496</v>
      </c>
    </row>
    <row r="76" spans="1:7" x14ac:dyDescent="0.35">
      <c r="A76" s="1" t="s">
        <v>14</v>
      </c>
      <c r="B76" s="1" t="s">
        <v>10</v>
      </c>
      <c r="C76" s="1" t="s">
        <v>11</v>
      </c>
      <c r="D76" s="1" t="s">
        <v>8</v>
      </c>
      <c r="E76" s="1">
        <v>0</v>
      </c>
      <c r="F76" s="1">
        <v>1.0316944000005599</v>
      </c>
      <c r="G76" s="1">
        <f t="shared" si="1"/>
        <v>1031.6944000005599</v>
      </c>
    </row>
    <row r="77" spans="1:7" x14ac:dyDescent="0.35">
      <c r="A77" s="1" t="s">
        <v>24</v>
      </c>
      <c r="B77" s="1" t="s">
        <v>7</v>
      </c>
      <c r="C77" s="1" t="s">
        <v>8</v>
      </c>
      <c r="D77" s="1" t="s">
        <v>8</v>
      </c>
      <c r="E77" s="1">
        <v>1</v>
      </c>
      <c r="F77" s="1">
        <v>1.3600911000012199</v>
      </c>
      <c r="G77" s="1">
        <f t="shared" si="1"/>
        <v>1360.09110000122</v>
      </c>
    </row>
    <row r="78" spans="1:7" x14ac:dyDescent="0.35">
      <c r="A78" s="1" t="s">
        <v>16</v>
      </c>
      <c r="B78" s="1" t="s">
        <v>10</v>
      </c>
      <c r="C78" s="1" t="s">
        <v>11</v>
      </c>
      <c r="D78" s="1" t="s">
        <v>11</v>
      </c>
      <c r="E78" s="1">
        <v>1</v>
      </c>
      <c r="F78" s="1">
        <v>1.87749449999864</v>
      </c>
      <c r="G78" s="1">
        <f t="shared" si="1"/>
        <v>1877.4944999986401</v>
      </c>
    </row>
    <row r="79" spans="1:7" x14ac:dyDescent="0.35">
      <c r="A79" s="1" t="s">
        <v>18</v>
      </c>
      <c r="B79" s="1" t="s">
        <v>7</v>
      </c>
      <c r="C79" s="1" t="s">
        <v>8</v>
      </c>
      <c r="D79" s="1" t="s">
        <v>8</v>
      </c>
      <c r="E79" s="1">
        <v>1</v>
      </c>
      <c r="F79" s="1">
        <v>0.79265870000017402</v>
      </c>
      <c r="G79" s="1">
        <f t="shared" si="1"/>
        <v>792.65870000017401</v>
      </c>
    </row>
    <row r="80" spans="1:7" x14ac:dyDescent="0.35">
      <c r="A80" s="1" t="s">
        <v>28</v>
      </c>
      <c r="B80" s="1" t="s">
        <v>10</v>
      </c>
      <c r="C80" s="1" t="s">
        <v>11</v>
      </c>
      <c r="D80" s="1" t="s">
        <v>11</v>
      </c>
      <c r="E80" s="1">
        <v>1</v>
      </c>
      <c r="F80" s="1">
        <v>3.5071232999998698</v>
      </c>
      <c r="G80" s="1">
        <f t="shared" si="1"/>
        <v>3507.1232999998697</v>
      </c>
    </row>
    <row r="81" spans="1:7" x14ac:dyDescent="0.35">
      <c r="A81" s="1" t="s">
        <v>20</v>
      </c>
      <c r="B81" s="1" t="s">
        <v>10</v>
      </c>
      <c r="C81" s="1" t="s">
        <v>11</v>
      </c>
      <c r="D81" s="1" t="s">
        <v>11</v>
      </c>
      <c r="E81" s="1">
        <v>1</v>
      </c>
      <c r="F81" s="1">
        <v>0.97096059999967099</v>
      </c>
      <c r="G81" s="1">
        <f t="shared" si="1"/>
        <v>970.96059999967099</v>
      </c>
    </row>
    <row r="82" spans="1:7" x14ac:dyDescent="0.35">
      <c r="A82" s="1" t="s">
        <v>14</v>
      </c>
      <c r="B82" s="1" t="s">
        <v>10</v>
      </c>
      <c r="C82" s="1" t="s">
        <v>11</v>
      </c>
      <c r="D82" s="1" t="s">
        <v>11</v>
      </c>
      <c r="E82" s="1">
        <v>1</v>
      </c>
      <c r="F82" s="1">
        <v>1.3796220999993201</v>
      </c>
      <c r="G82" s="1">
        <f t="shared" si="1"/>
        <v>1379.62209999932</v>
      </c>
    </row>
    <row r="83" spans="1:7" x14ac:dyDescent="0.35">
      <c r="A83" s="1" t="s">
        <v>29</v>
      </c>
      <c r="B83" s="1" t="s">
        <v>7</v>
      </c>
      <c r="C83" s="1" t="s">
        <v>8</v>
      </c>
      <c r="D83" s="1" t="s">
        <v>8</v>
      </c>
      <c r="E83" s="1">
        <v>1</v>
      </c>
      <c r="F83" s="1">
        <v>1.11982309999984</v>
      </c>
      <c r="G83" s="1">
        <f t="shared" si="1"/>
        <v>1119.82309999984</v>
      </c>
    </row>
    <row r="84" spans="1:7" x14ac:dyDescent="0.35">
      <c r="A84" s="1" t="s">
        <v>20</v>
      </c>
      <c r="B84" s="1" t="s">
        <v>10</v>
      </c>
      <c r="C84" s="1" t="s">
        <v>11</v>
      </c>
      <c r="D84" s="1" t="s">
        <v>11</v>
      </c>
      <c r="E84" s="1">
        <v>1</v>
      </c>
      <c r="F84" s="1">
        <v>1.9850722000010099</v>
      </c>
      <c r="G84" s="1">
        <f t="shared" si="1"/>
        <v>1985.0722000010098</v>
      </c>
    </row>
    <row r="85" spans="1:7" x14ac:dyDescent="0.35">
      <c r="A85" s="1" t="s">
        <v>27</v>
      </c>
      <c r="B85" s="1" t="s">
        <v>7</v>
      </c>
      <c r="C85" s="1" t="s">
        <v>8</v>
      </c>
      <c r="D85" s="1" t="s">
        <v>8</v>
      </c>
      <c r="E85" s="1">
        <v>1</v>
      </c>
      <c r="F85" s="1">
        <v>0.58289100000001703</v>
      </c>
      <c r="G85" s="1">
        <f t="shared" si="1"/>
        <v>582.89100000001702</v>
      </c>
    </row>
    <row r="86" spans="1:7" x14ac:dyDescent="0.35">
      <c r="A86" s="1" t="s">
        <v>18</v>
      </c>
      <c r="B86" s="1" t="s">
        <v>7</v>
      </c>
      <c r="C86" s="1" t="s">
        <v>8</v>
      </c>
      <c r="D86" s="1" t="s">
        <v>8</v>
      </c>
      <c r="E86" s="1">
        <v>1</v>
      </c>
      <c r="F86" s="1">
        <v>1.57311190000109</v>
      </c>
      <c r="G86" s="1">
        <f t="shared" si="1"/>
        <v>1573.1119000010901</v>
      </c>
    </row>
    <row r="87" spans="1:7" x14ac:dyDescent="0.35">
      <c r="A87" s="1" t="s">
        <v>26</v>
      </c>
      <c r="B87" s="1" t="s">
        <v>10</v>
      </c>
      <c r="C87" s="1" t="s">
        <v>11</v>
      </c>
      <c r="D87" s="1" t="s">
        <v>11</v>
      </c>
      <c r="E87" s="1">
        <v>1</v>
      </c>
      <c r="F87" s="1">
        <v>0.99795999999878404</v>
      </c>
      <c r="G87" s="1">
        <f t="shared" si="1"/>
        <v>997.95999999878404</v>
      </c>
    </row>
    <row r="88" spans="1:7" x14ac:dyDescent="0.35">
      <c r="A88" s="1" t="s">
        <v>19</v>
      </c>
      <c r="B88" s="1" t="s">
        <v>7</v>
      </c>
      <c r="C88" s="1" t="s">
        <v>8</v>
      </c>
      <c r="D88" s="1" t="s">
        <v>8</v>
      </c>
      <c r="E88" s="1">
        <v>1</v>
      </c>
      <c r="F88" s="1">
        <v>0.55218699999932097</v>
      </c>
      <c r="G88" s="1">
        <f t="shared" si="1"/>
        <v>552.18699999932096</v>
      </c>
    </row>
    <row r="89" spans="1:7" x14ac:dyDescent="0.35">
      <c r="A89" s="1" t="s">
        <v>9</v>
      </c>
      <c r="B89" s="1" t="s">
        <v>10</v>
      </c>
      <c r="C89" s="1" t="s">
        <v>11</v>
      </c>
      <c r="D89" s="1" t="s">
        <v>11</v>
      </c>
      <c r="E89" s="1">
        <v>1</v>
      </c>
      <c r="F89" s="1">
        <v>1.9408541000011601</v>
      </c>
      <c r="G89" s="1">
        <f t="shared" si="1"/>
        <v>1940.8541000011601</v>
      </c>
    </row>
    <row r="90" spans="1:7" x14ac:dyDescent="0.35">
      <c r="A90" s="1" t="s">
        <v>16</v>
      </c>
      <c r="B90" s="1" t="s">
        <v>10</v>
      </c>
      <c r="C90" s="1" t="s">
        <v>11</v>
      </c>
      <c r="D90" s="1" t="s">
        <v>11</v>
      </c>
      <c r="E90" s="1">
        <v>1</v>
      </c>
      <c r="F90" s="1">
        <v>1.0668050000003799</v>
      </c>
      <c r="G90" s="1">
        <f t="shared" si="1"/>
        <v>1066.80500000038</v>
      </c>
    </row>
    <row r="91" spans="1:7" x14ac:dyDescent="0.35">
      <c r="A91" s="1" t="s">
        <v>23</v>
      </c>
      <c r="B91" s="1" t="s">
        <v>10</v>
      </c>
      <c r="C91" s="1" t="s">
        <v>11</v>
      </c>
      <c r="D91" s="1" t="s">
        <v>11</v>
      </c>
      <c r="E91" s="1">
        <v>1</v>
      </c>
      <c r="F91" s="1">
        <v>1.1472575000006999</v>
      </c>
      <c r="G91" s="1">
        <f t="shared" si="1"/>
        <v>1147.2575000007</v>
      </c>
    </row>
    <row r="92" spans="1:7" x14ac:dyDescent="0.35">
      <c r="A92" s="1" t="s">
        <v>12</v>
      </c>
      <c r="B92" s="1" t="s">
        <v>7</v>
      </c>
      <c r="C92" s="1" t="s">
        <v>8</v>
      </c>
      <c r="D92" s="1" t="s">
        <v>8</v>
      </c>
      <c r="E92" s="1">
        <v>1</v>
      </c>
      <c r="F92" s="1">
        <v>0.60806190000039295</v>
      </c>
      <c r="G92" s="1">
        <f t="shared" si="1"/>
        <v>608.06190000039294</v>
      </c>
    </row>
    <row r="93" spans="1:7" x14ac:dyDescent="0.35">
      <c r="A93" s="1" t="s">
        <v>22</v>
      </c>
      <c r="B93" s="1" t="s">
        <v>7</v>
      </c>
      <c r="C93" s="1" t="s">
        <v>8</v>
      </c>
      <c r="D93" s="1" t="s">
        <v>8</v>
      </c>
      <c r="E93" s="1">
        <v>1</v>
      </c>
      <c r="F93" s="1">
        <v>0.52710180000030904</v>
      </c>
      <c r="G93" s="1">
        <f t="shared" si="1"/>
        <v>527.10180000030903</v>
      </c>
    </row>
    <row r="94" spans="1:7" x14ac:dyDescent="0.35">
      <c r="A94" s="1" t="s">
        <v>15</v>
      </c>
      <c r="B94" s="1" t="s">
        <v>7</v>
      </c>
      <c r="C94" s="1" t="s">
        <v>8</v>
      </c>
      <c r="D94" s="1" t="s">
        <v>8</v>
      </c>
      <c r="E94" s="1">
        <v>1</v>
      </c>
      <c r="F94" s="1">
        <v>0.53108550000069898</v>
      </c>
      <c r="G94" s="1">
        <f t="shared" si="1"/>
        <v>531.08550000069897</v>
      </c>
    </row>
    <row r="95" spans="1:7" x14ac:dyDescent="0.35">
      <c r="A95" s="1" t="s">
        <v>28</v>
      </c>
      <c r="B95" s="1" t="s">
        <v>10</v>
      </c>
      <c r="C95" s="1" t="s">
        <v>11</v>
      </c>
      <c r="D95" s="1" t="s">
        <v>11</v>
      </c>
      <c r="E95" s="1">
        <v>1</v>
      </c>
      <c r="F95" s="1">
        <v>1.20192119999956</v>
      </c>
      <c r="G95" s="1">
        <f t="shared" si="1"/>
        <v>1201.92119999956</v>
      </c>
    </row>
    <row r="96" spans="1:7" x14ac:dyDescent="0.35">
      <c r="A96" s="1" t="s">
        <v>25</v>
      </c>
      <c r="B96" s="1" t="s">
        <v>10</v>
      </c>
      <c r="C96" s="1" t="s">
        <v>11</v>
      </c>
      <c r="D96" s="1" t="s">
        <v>8</v>
      </c>
      <c r="E96" s="1">
        <v>0</v>
      </c>
      <c r="F96" s="1">
        <v>1.04871520000051</v>
      </c>
      <c r="G96" s="1">
        <f t="shared" si="1"/>
        <v>1048.7152000005101</v>
      </c>
    </row>
    <row r="97" spans="1:7" x14ac:dyDescent="0.35">
      <c r="A97" s="1" t="s">
        <v>21</v>
      </c>
      <c r="B97" s="1" t="s">
        <v>10</v>
      </c>
      <c r="C97" s="1" t="s">
        <v>11</v>
      </c>
      <c r="D97" s="1" t="s">
        <v>11</v>
      </c>
      <c r="E97" s="1">
        <v>1</v>
      </c>
      <c r="F97" s="1">
        <v>1.2258820000006301</v>
      </c>
      <c r="G97" s="1">
        <f t="shared" si="1"/>
        <v>1225.8820000006301</v>
      </c>
    </row>
    <row r="98" spans="1:7" x14ac:dyDescent="0.35">
      <c r="A98" s="1" t="s">
        <v>24</v>
      </c>
      <c r="B98" s="1" t="s">
        <v>7</v>
      </c>
      <c r="C98" s="1" t="s">
        <v>8</v>
      </c>
      <c r="D98" s="1" t="s">
        <v>8</v>
      </c>
      <c r="E98" s="1">
        <v>1</v>
      </c>
      <c r="F98" s="1">
        <v>0.55568670000138798</v>
      </c>
      <c r="G98" s="1">
        <f t="shared" si="1"/>
        <v>555.68670000138798</v>
      </c>
    </row>
    <row r="99" spans="1:7" x14ac:dyDescent="0.35">
      <c r="A99" s="1" t="s">
        <v>6</v>
      </c>
      <c r="B99" s="1" t="s">
        <v>7</v>
      </c>
      <c r="C99" s="1" t="s">
        <v>8</v>
      </c>
      <c r="D99" s="1" t="s">
        <v>8</v>
      </c>
      <c r="E99" s="1">
        <v>1</v>
      </c>
      <c r="F99" s="1">
        <v>0.73735269999997399</v>
      </c>
      <c r="G99" s="1">
        <f t="shared" si="1"/>
        <v>737.35269999997399</v>
      </c>
    </row>
    <row r="100" spans="1:7" x14ac:dyDescent="0.35">
      <c r="A100" s="1" t="s">
        <v>17</v>
      </c>
      <c r="B100" s="1" t="s">
        <v>10</v>
      </c>
      <c r="C100" s="1" t="s">
        <v>11</v>
      </c>
      <c r="D100" s="1" t="s">
        <v>11</v>
      </c>
      <c r="E100" s="1">
        <v>1</v>
      </c>
      <c r="F100" s="1">
        <v>0.99203069999930404</v>
      </c>
      <c r="G100" s="1">
        <f t="shared" si="1"/>
        <v>992.03069999930403</v>
      </c>
    </row>
    <row r="101" spans="1:7" x14ac:dyDescent="0.35">
      <c r="A101" s="1" t="s">
        <v>13</v>
      </c>
      <c r="B101" s="1" t="s">
        <v>7</v>
      </c>
      <c r="C101" s="1" t="s">
        <v>8</v>
      </c>
      <c r="D101" s="1" t="s">
        <v>8</v>
      </c>
      <c r="E101" s="1">
        <v>1</v>
      </c>
      <c r="F101" s="1">
        <v>0.53658289999839304</v>
      </c>
      <c r="G101" s="1">
        <f t="shared" si="1"/>
        <v>536.58289999839303</v>
      </c>
    </row>
    <row r="102" spans="1:7" x14ac:dyDescent="0.35">
      <c r="A102" s="1" t="s">
        <v>17</v>
      </c>
      <c r="B102" s="1" t="s">
        <v>10</v>
      </c>
      <c r="C102" s="1" t="s">
        <v>11</v>
      </c>
      <c r="D102" s="1" t="s">
        <v>11</v>
      </c>
      <c r="E102" s="1">
        <v>1</v>
      </c>
      <c r="F102" s="1">
        <v>1.2976362999997899</v>
      </c>
      <c r="G102" s="1">
        <f t="shared" si="1"/>
        <v>1297.6362999997898</v>
      </c>
    </row>
    <row r="103" spans="1:7" x14ac:dyDescent="0.35">
      <c r="A103" s="1" t="s">
        <v>16</v>
      </c>
      <c r="B103" s="1" t="s">
        <v>10</v>
      </c>
      <c r="C103" s="1" t="s">
        <v>11</v>
      </c>
      <c r="D103" s="1" t="s">
        <v>11</v>
      </c>
      <c r="E103" s="1">
        <v>1</v>
      </c>
      <c r="F103" s="1">
        <v>1.08027489999949</v>
      </c>
      <c r="G103" s="1">
        <f t="shared" si="1"/>
        <v>1080.2748999994899</v>
      </c>
    </row>
    <row r="104" spans="1:7" x14ac:dyDescent="0.35">
      <c r="A104" s="1" t="s">
        <v>14</v>
      </c>
      <c r="B104" s="1" t="s">
        <v>10</v>
      </c>
      <c r="C104" s="1" t="s">
        <v>11</v>
      </c>
      <c r="D104" s="1" t="s">
        <v>11</v>
      </c>
      <c r="E104" s="1">
        <v>1</v>
      </c>
      <c r="F104" s="1">
        <v>1.2334286000004699</v>
      </c>
      <c r="G104" s="1">
        <f t="shared" si="1"/>
        <v>1233.4286000004699</v>
      </c>
    </row>
    <row r="105" spans="1:7" x14ac:dyDescent="0.35">
      <c r="A105" s="1" t="s">
        <v>20</v>
      </c>
      <c r="B105" s="1" t="s">
        <v>10</v>
      </c>
      <c r="C105" s="1" t="s">
        <v>11</v>
      </c>
      <c r="D105" s="1" t="s">
        <v>11</v>
      </c>
      <c r="E105" s="1">
        <v>1</v>
      </c>
      <c r="F105" s="1">
        <v>0.94178850000025705</v>
      </c>
      <c r="G105" s="1">
        <f t="shared" si="1"/>
        <v>941.78850000025705</v>
      </c>
    </row>
    <row r="106" spans="1:7" x14ac:dyDescent="0.35">
      <c r="A106" s="1" t="s">
        <v>15</v>
      </c>
      <c r="B106" s="1" t="s">
        <v>7</v>
      </c>
      <c r="C106" s="1" t="s">
        <v>8</v>
      </c>
      <c r="D106" s="1" t="s">
        <v>8</v>
      </c>
      <c r="E106" s="1">
        <v>1</v>
      </c>
      <c r="F106" s="1">
        <v>0.69067089999953102</v>
      </c>
      <c r="G106" s="1">
        <f t="shared" si="1"/>
        <v>690.670899999531</v>
      </c>
    </row>
    <row r="107" spans="1:7" x14ac:dyDescent="0.35">
      <c r="A107" s="1" t="s">
        <v>6</v>
      </c>
      <c r="B107" s="1" t="s">
        <v>7</v>
      </c>
      <c r="C107" s="1" t="s">
        <v>8</v>
      </c>
      <c r="D107" s="1" t="s">
        <v>8</v>
      </c>
      <c r="E107" s="1">
        <v>1</v>
      </c>
      <c r="F107" s="1">
        <v>0.48175720000108402</v>
      </c>
      <c r="G107" s="1">
        <f t="shared" si="1"/>
        <v>481.75720000108402</v>
      </c>
    </row>
    <row r="108" spans="1:7" x14ac:dyDescent="0.35">
      <c r="A108" s="1" t="s">
        <v>22</v>
      </c>
      <c r="B108" s="1" t="s">
        <v>7</v>
      </c>
      <c r="C108" s="1" t="s">
        <v>8</v>
      </c>
      <c r="D108" s="1" t="s">
        <v>8</v>
      </c>
      <c r="E108" s="1">
        <v>1</v>
      </c>
      <c r="F108" s="1">
        <v>0.40349390000119401</v>
      </c>
      <c r="G108" s="1">
        <f t="shared" si="1"/>
        <v>403.49390000119399</v>
      </c>
    </row>
    <row r="109" spans="1:7" x14ac:dyDescent="0.35">
      <c r="A109" s="1" t="s">
        <v>18</v>
      </c>
      <c r="B109" s="1" t="s">
        <v>7</v>
      </c>
      <c r="C109" s="1" t="s">
        <v>8</v>
      </c>
      <c r="D109" s="1" t="s">
        <v>8</v>
      </c>
      <c r="E109" s="1">
        <v>1</v>
      </c>
      <c r="F109" s="1">
        <v>0.42483709999942199</v>
      </c>
      <c r="G109" s="1">
        <f t="shared" si="1"/>
        <v>424.83709999942198</v>
      </c>
    </row>
    <row r="110" spans="1:7" x14ac:dyDescent="0.35">
      <c r="A110" s="1" t="s">
        <v>29</v>
      </c>
      <c r="B110" s="1" t="s">
        <v>7</v>
      </c>
      <c r="C110" s="1" t="s">
        <v>8</v>
      </c>
      <c r="D110" s="1" t="s">
        <v>8</v>
      </c>
      <c r="E110" s="1">
        <v>1</v>
      </c>
      <c r="F110" s="1">
        <v>0.48618929999975002</v>
      </c>
      <c r="G110" s="1">
        <f t="shared" si="1"/>
        <v>486.18929999975001</v>
      </c>
    </row>
    <row r="111" spans="1:7" x14ac:dyDescent="0.35">
      <c r="A111" s="1" t="s">
        <v>24</v>
      </c>
      <c r="B111" s="1" t="s">
        <v>7</v>
      </c>
      <c r="C111" s="1" t="s">
        <v>8</v>
      </c>
      <c r="D111" s="1" t="s">
        <v>8</v>
      </c>
      <c r="E111" s="1">
        <v>1</v>
      </c>
      <c r="F111" s="1">
        <v>0.43309500000032097</v>
      </c>
      <c r="G111" s="1">
        <f t="shared" si="1"/>
        <v>433.09500000032097</v>
      </c>
    </row>
    <row r="112" spans="1:7" x14ac:dyDescent="0.35">
      <c r="A112" s="1" t="s">
        <v>12</v>
      </c>
      <c r="B112" s="1" t="s">
        <v>7</v>
      </c>
      <c r="C112" s="1" t="s">
        <v>8</v>
      </c>
      <c r="D112" s="1" t="s">
        <v>8</v>
      </c>
      <c r="E112" s="1">
        <v>1</v>
      </c>
      <c r="F112" s="1">
        <v>0.52810279999903198</v>
      </c>
      <c r="G112" s="1">
        <f t="shared" si="1"/>
        <v>528.10279999903196</v>
      </c>
    </row>
    <row r="113" spans="1:7" x14ac:dyDescent="0.35">
      <c r="A113" s="1" t="s">
        <v>27</v>
      </c>
      <c r="B113" s="1" t="s">
        <v>7</v>
      </c>
      <c r="C113" s="1" t="s">
        <v>8</v>
      </c>
      <c r="D113" s="1" t="s">
        <v>8</v>
      </c>
      <c r="E113" s="1">
        <v>1</v>
      </c>
      <c r="F113" s="1">
        <v>0.69544510000014204</v>
      </c>
      <c r="G113" s="1">
        <f t="shared" si="1"/>
        <v>695.44510000014202</v>
      </c>
    </row>
    <row r="114" spans="1:7" x14ac:dyDescent="0.35">
      <c r="A114" s="1" t="s">
        <v>13</v>
      </c>
      <c r="B114" s="1" t="s">
        <v>7</v>
      </c>
      <c r="C114" s="1" t="s">
        <v>8</v>
      </c>
      <c r="D114" s="1" t="s">
        <v>8</v>
      </c>
      <c r="E114" s="1">
        <v>1</v>
      </c>
      <c r="F114" s="1">
        <v>0.72699439999996596</v>
      </c>
      <c r="G114" s="1">
        <f t="shared" si="1"/>
        <v>726.99439999996594</v>
      </c>
    </row>
    <row r="115" spans="1:7" x14ac:dyDescent="0.35">
      <c r="A115" s="1" t="s">
        <v>28</v>
      </c>
      <c r="B115" s="1" t="s">
        <v>10</v>
      </c>
      <c r="C115" s="1" t="s">
        <v>11</v>
      </c>
      <c r="D115" s="1" t="s">
        <v>11</v>
      </c>
      <c r="E115" s="1">
        <v>1</v>
      </c>
      <c r="F115" s="1">
        <v>1.3543079999999399</v>
      </c>
      <c r="G115" s="1">
        <f t="shared" si="1"/>
        <v>1354.30799999994</v>
      </c>
    </row>
    <row r="116" spans="1:7" x14ac:dyDescent="0.35">
      <c r="A116" s="1" t="s">
        <v>21</v>
      </c>
      <c r="B116" s="1" t="s">
        <v>10</v>
      </c>
      <c r="C116" s="1" t="s">
        <v>11</v>
      </c>
      <c r="D116" s="1" t="s">
        <v>11</v>
      </c>
      <c r="E116" s="1">
        <v>1</v>
      </c>
      <c r="F116" s="1">
        <v>1.7144776999994</v>
      </c>
      <c r="G116" s="1">
        <f t="shared" si="1"/>
        <v>1714.4776999994001</v>
      </c>
    </row>
    <row r="117" spans="1:7" x14ac:dyDescent="0.35">
      <c r="A117" s="1" t="s">
        <v>9</v>
      </c>
      <c r="B117" s="1" t="s">
        <v>10</v>
      </c>
      <c r="C117" s="1" t="s">
        <v>11</v>
      </c>
      <c r="D117" s="1" t="s">
        <v>11</v>
      </c>
      <c r="E117" s="1">
        <v>1</v>
      </c>
      <c r="F117" s="1">
        <v>1.6570365000006799</v>
      </c>
      <c r="G117" s="1">
        <f t="shared" si="1"/>
        <v>1657.03650000068</v>
      </c>
    </row>
    <row r="118" spans="1:7" x14ac:dyDescent="0.35">
      <c r="A118" s="1" t="s">
        <v>26</v>
      </c>
      <c r="B118" s="1" t="s">
        <v>10</v>
      </c>
      <c r="C118" s="1" t="s">
        <v>11</v>
      </c>
      <c r="D118" s="1" t="s">
        <v>11</v>
      </c>
      <c r="E118" s="1">
        <v>1</v>
      </c>
      <c r="F118" s="1">
        <v>0.98971780000101695</v>
      </c>
      <c r="G118" s="1">
        <f t="shared" si="1"/>
        <v>989.71780000101694</v>
      </c>
    </row>
    <row r="119" spans="1:7" x14ac:dyDescent="0.35">
      <c r="A119" s="1" t="s">
        <v>23</v>
      </c>
      <c r="B119" s="1" t="s">
        <v>10</v>
      </c>
      <c r="C119" s="1" t="s">
        <v>11</v>
      </c>
      <c r="D119" s="1" t="s">
        <v>8</v>
      </c>
      <c r="E119" s="1">
        <v>0</v>
      </c>
      <c r="F119" s="1">
        <v>2.4590809000001101</v>
      </c>
      <c r="G119" s="1">
        <f t="shared" si="1"/>
        <v>2459.08090000011</v>
      </c>
    </row>
    <row r="120" spans="1:7" x14ac:dyDescent="0.35">
      <c r="A120" s="1" t="s">
        <v>19</v>
      </c>
      <c r="B120" s="1" t="s">
        <v>7</v>
      </c>
      <c r="C120" s="1" t="s">
        <v>8</v>
      </c>
      <c r="D120" s="1" t="s">
        <v>8</v>
      </c>
      <c r="E120" s="1">
        <v>1</v>
      </c>
      <c r="F120" s="1">
        <v>0.61538039999868399</v>
      </c>
      <c r="G120" s="1">
        <f t="shared" si="1"/>
        <v>615.38039999868397</v>
      </c>
    </row>
    <row r="121" spans="1:7" x14ac:dyDescent="0.35">
      <c r="A121" s="1" t="s">
        <v>25</v>
      </c>
      <c r="B121" s="1" t="s">
        <v>10</v>
      </c>
      <c r="C121" s="1" t="s">
        <v>11</v>
      </c>
      <c r="D121" s="1" t="s">
        <v>8</v>
      </c>
      <c r="E121" s="1">
        <v>0</v>
      </c>
      <c r="F121" s="1">
        <v>1.3928537000010599</v>
      </c>
      <c r="G121" s="1">
        <f t="shared" si="1"/>
        <v>1392.8537000010599</v>
      </c>
    </row>
    <row r="122" spans="1:7" x14ac:dyDescent="0.35">
      <c r="A122" s="1" t="s">
        <v>12</v>
      </c>
      <c r="B122" s="1" t="s">
        <v>7</v>
      </c>
      <c r="C122" s="1" t="s">
        <v>8</v>
      </c>
      <c r="D122" s="1" t="s">
        <v>8</v>
      </c>
      <c r="E122" s="1">
        <v>1</v>
      </c>
      <c r="F122" s="1">
        <v>0.59630900000047404</v>
      </c>
      <c r="G122" s="1">
        <f t="shared" si="1"/>
        <v>596.30900000047404</v>
      </c>
    </row>
    <row r="123" spans="1:7" x14ac:dyDescent="0.35">
      <c r="A123" s="1" t="s">
        <v>28</v>
      </c>
      <c r="B123" s="1" t="s">
        <v>10</v>
      </c>
      <c r="C123" s="1" t="s">
        <v>11</v>
      </c>
      <c r="D123" s="1" t="s">
        <v>11</v>
      </c>
      <c r="E123" s="1">
        <v>1</v>
      </c>
      <c r="F123" s="1">
        <v>0.97450689999823203</v>
      </c>
      <c r="G123" s="1">
        <f t="shared" si="1"/>
        <v>974.50689999823203</v>
      </c>
    </row>
    <row r="124" spans="1:7" x14ac:dyDescent="0.35">
      <c r="A124" s="1" t="s">
        <v>17</v>
      </c>
      <c r="B124" s="1" t="s">
        <v>10</v>
      </c>
      <c r="C124" s="1" t="s">
        <v>11</v>
      </c>
      <c r="D124" s="1" t="s">
        <v>11</v>
      </c>
      <c r="E124" s="1">
        <v>1</v>
      </c>
      <c r="F124" s="1">
        <v>0.853281300000162</v>
      </c>
      <c r="G124" s="1">
        <f t="shared" si="1"/>
        <v>853.28130000016199</v>
      </c>
    </row>
    <row r="125" spans="1:7" x14ac:dyDescent="0.35">
      <c r="A125" s="1" t="s">
        <v>22</v>
      </c>
      <c r="B125" s="1" t="s">
        <v>7</v>
      </c>
      <c r="C125" s="1" t="s">
        <v>8</v>
      </c>
      <c r="D125" s="1" t="s">
        <v>8</v>
      </c>
      <c r="E125" s="1">
        <v>1</v>
      </c>
      <c r="F125" s="1">
        <v>1.33110959999976</v>
      </c>
      <c r="G125" s="1">
        <f t="shared" si="1"/>
        <v>1331.1095999997599</v>
      </c>
    </row>
    <row r="126" spans="1:7" x14ac:dyDescent="0.35">
      <c r="A126" s="1" t="s">
        <v>13</v>
      </c>
      <c r="B126" s="1" t="s">
        <v>7</v>
      </c>
      <c r="C126" s="1" t="s">
        <v>8</v>
      </c>
      <c r="D126" s="1" t="s">
        <v>8</v>
      </c>
      <c r="E126" s="1">
        <v>1</v>
      </c>
      <c r="F126" s="1">
        <v>0.39845530000093199</v>
      </c>
      <c r="G126" s="1">
        <f t="shared" si="1"/>
        <v>398.45530000093197</v>
      </c>
    </row>
    <row r="127" spans="1:7" x14ac:dyDescent="0.35">
      <c r="A127" s="1" t="s">
        <v>9</v>
      </c>
      <c r="B127" s="1" t="s">
        <v>10</v>
      </c>
      <c r="C127" s="1" t="s">
        <v>11</v>
      </c>
      <c r="D127" s="1" t="s">
        <v>11</v>
      </c>
      <c r="E127" s="1">
        <v>1</v>
      </c>
      <c r="F127" s="1">
        <v>0.73714000000109003</v>
      </c>
      <c r="G127" s="1">
        <f t="shared" si="1"/>
        <v>737.14000000109002</v>
      </c>
    </row>
    <row r="128" spans="1:7" x14ac:dyDescent="0.35">
      <c r="A128" s="1" t="s">
        <v>20</v>
      </c>
      <c r="B128" s="1" t="s">
        <v>10</v>
      </c>
      <c r="C128" s="1" t="s">
        <v>11</v>
      </c>
      <c r="D128" s="1" t="s">
        <v>11</v>
      </c>
      <c r="E128" s="1">
        <v>1</v>
      </c>
      <c r="F128" s="1">
        <v>0.66386189999866396</v>
      </c>
      <c r="G128" s="1">
        <f t="shared" si="1"/>
        <v>663.86189999866394</v>
      </c>
    </row>
    <row r="129" spans="1:7" x14ac:dyDescent="0.35">
      <c r="A129" s="1" t="s">
        <v>16</v>
      </c>
      <c r="B129" s="1" t="s">
        <v>10</v>
      </c>
      <c r="C129" s="1" t="s">
        <v>11</v>
      </c>
      <c r="D129" s="1" t="s">
        <v>11</v>
      </c>
      <c r="E129" s="1">
        <v>1</v>
      </c>
      <c r="F129" s="1">
        <v>0.63350650000029396</v>
      </c>
      <c r="G129" s="1">
        <f t="shared" si="1"/>
        <v>633.50650000029395</v>
      </c>
    </row>
    <row r="130" spans="1:7" x14ac:dyDescent="0.35">
      <c r="A130" s="1" t="s">
        <v>6</v>
      </c>
      <c r="B130" s="1" t="s">
        <v>7</v>
      </c>
      <c r="C130" s="1" t="s">
        <v>8</v>
      </c>
      <c r="D130" s="1" t="s">
        <v>8</v>
      </c>
      <c r="E130" s="1">
        <v>1</v>
      </c>
      <c r="F130" s="1">
        <v>0.67399130000012497</v>
      </c>
      <c r="G130" s="1">
        <f t="shared" si="1"/>
        <v>673.99130000012497</v>
      </c>
    </row>
    <row r="131" spans="1:7" x14ac:dyDescent="0.35">
      <c r="A131" s="1" t="s">
        <v>19</v>
      </c>
      <c r="B131" s="1" t="s">
        <v>7</v>
      </c>
      <c r="C131" s="1" t="s">
        <v>8</v>
      </c>
      <c r="D131" s="1" t="s">
        <v>8</v>
      </c>
      <c r="E131" s="1">
        <v>1</v>
      </c>
      <c r="F131" s="1">
        <v>1.0018190999999199</v>
      </c>
      <c r="G131" s="1">
        <f t="shared" ref="G131:G194" si="2">F131*1000</f>
        <v>1001.8190999999199</v>
      </c>
    </row>
    <row r="132" spans="1:7" x14ac:dyDescent="0.35">
      <c r="A132" s="1" t="s">
        <v>18</v>
      </c>
      <c r="B132" s="1" t="s">
        <v>7</v>
      </c>
      <c r="C132" s="1" t="s">
        <v>8</v>
      </c>
      <c r="D132" s="1" t="s">
        <v>8</v>
      </c>
      <c r="E132" s="1">
        <v>1</v>
      </c>
      <c r="F132" s="1">
        <v>1.78869180000037</v>
      </c>
      <c r="G132" s="1">
        <f t="shared" si="2"/>
        <v>1788.69180000037</v>
      </c>
    </row>
    <row r="133" spans="1:7" x14ac:dyDescent="0.35">
      <c r="A133" s="1" t="s">
        <v>23</v>
      </c>
      <c r="B133" s="1" t="s">
        <v>10</v>
      </c>
      <c r="C133" s="1" t="s">
        <v>11</v>
      </c>
      <c r="D133" s="1" t="s">
        <v>8</v>
      </c>
      <c r="E133" s="1">
        <v>0</v>
      </c>
      <c r="F133" s="1">
        <v>0.42609790000096798</v>
      </c>
      <c r="G133" s="1">
        <f t="shared" si="2"/>
        <v>426.09790000096797</v>
      </c>
    </row>
    <row r="134" spans="1:7" x14ac:dyDescent="0.35">
      <c r="A134" s="1" t="s">
        <v>25</v>
      </c>
      <c r="B134" s="1" t="s">
        <v>10</v>
      </c>
      <c r="C134" s="1" t="s">
        <v>11</v>
      </c>
      <c r="D134" s="1" t="s">
        <v>8</v>
      </c>
      <c r="E134" s="1">
        <v>0</v>
      </c>
      <c r="F134" s="1">
        <v>1.08155989999977</v>
      </c>
      <c r="G134" s="1">
        <f t="shared" si="2"/>
        <v>1081.5598999997699</v>
      </c>
    </row>
    <row r="135" spans="1:7" x14ac:dyDescent="0.35">
      <c r="A135" s="1" t="s">
        <v>29</v>
      </c>
      <c r="B135" s="1" t="s">
        <v>7</v>
      </c>
      <c r="C135" s="1" t="s">
        <v>8</v>
      </c>
      <c r="D135" s="1" t="s">
        <v>8</v>
      </c>
      <c r="E135" s="1">
        <v>1</v>
      </c>
      <c r="F135" s="1">
        <v>0.45850710000013301</v>
      </c>
      <c r="G135" s="1">
        <f t="shared" si="2"/>
        <v>458.50710000013299</v>
      </c>
    </row>
    <row r="136" spans="1:7" x14ac:dyDescent="0.35">
      <c r="A136" s="1" t="s">
        <v>21</v>
      </c>
      <c r="B136" s="1" t="s">
        <v>10</v>
      </c>
      <c r="C136" s="1" t="s">
        <v>11</v>
      </c>
      <c r="D136" s="1" t="s">
        <v>8</v>
      </c>
      <c r="E136" s="1">
        <v>0</v>
      </c>
      <c r="F136" s="1">
        <v>0.51878200000101005</v>
      </c>
      <c r="G136" s="1">
        <f t="shared" si="2"/>
        <v>518.78200000101003</v>
      </c>
    </row>
    <row r="137" spans="1:7" x14ac:dyDescent="0.35">
      <c r="A137" s="1" t="s">
        <v>24</v>
      </c>
      <c r="B137" s="1" t="s">
        <v>7</v>
      </c>
      <c r="C137" s="1" t="s">
        <v>8</v>
      </c>
      <c r="D137" s="1" t="s">
        <v>8</v>
      </c>
      <c r="E137" s="1">
        <v>1</v>
      </c>
      <c r="F137" s="1">
        <v>0.62465799999881699</v>
      </c>
      <c r="G137" s="1">
        <f t="shared" si="2"/>
        <v>624.65799999881699</v>
      </c>
    </row>
    <row r="138" spans="1:7" x14ac:dyDescent="0.35">
      <c r="A138" s="1" t="s">
        <v>26</v>
      </c>
      <c r="B138" s="1" t="s">
        <v>10</v>
      </c>
      <c r="C138" s="1" t="s">
        <v>11</v>
      </c>
      <c r="D138" s="1" t="s">
        <v>11</v>
      </c>
      <c r="E138" s="1">
        <v>1</v>
      </c>
      <c r="F138" s="1">
        <v>0.82547849999900702</v>
      </c>
      <c r="G138" s="1">
        <f t="shared" si="2"/>
        <v>825.478499999007</v>
      </c>
    </row>
    <row r="139" spans="1:7" x14ac:dyDescent="0.35">
      <c r="A139" s="1" t="s">
        <v>27</v>
      </c>
      <c r="B139" s="1" t="s">
        <v>7</v>
      </c>
      <c r="C139" s="1" t="s">
        <v>8</v>
      </c>
      <c r="D139" s="1" t="s">
        <v>8</v>
      </c>
      <c r="E139" s="1">
        <v>1</v>
      </c>
      <c r="F139" s="1">
        <v>0.64230479999969203</v>
      </c>
      <c r="G139" s="1">
        <f t="shared" si="2"/>
        <v>642.30479999969202</v>
      </c>
    </row>
    <row r="140" spans="1:7" x14ac:dyDescent="0.35">
      <c r="A140" s="1" t="s">
        <v>15</v>
      </c>
      <c r="B140" s="1" t="s">
        <v>7</v>
      </c>
      <c r="C140" s="1" t="s">
        <v>8</v>
      </c>
      <c r="D140" s="1" t="s">
        <v>8</v>
      </c>
      <c r="E140" s="1">
        <v>1</v>
      </c>
      <c r="F140" s="1">
        <v>0.89666349999970396</v>
      </c>
      <c r="G140" s="1">
        <f t="shared" si="2"/>
        <v>896.66349999970396</v>
      </c>
    </row>
    <row r="141" spans="1:7" x14ac:dyDescent="0.35">
      <c r="A141" s="1" t="s">
        <v>14</v>
      </c>
      <c r="B141" s="1" t="s">
        <v>10</v>
      </c>
      <c r="C141" s="1" t="s">
        <v>11</v>
      </c>
      <c r="D141" s="1" t="s">
        <v>11</v>
      </c>
      <c r="E141" s="1">
        <v>1</v>
      </c>
      <c r="F141" s="1">
        <v>1.1455270000005799</v>
      </c>
      <c r="G141" s="1">
        <f t="shared" si="2"/>
        <v>1145.5270000005798</v>
      </c>
    </row>
    <row r="142" spans="1:7" x14ac:dyDescent="0.35">
      <c r="A142" s="1" t="s">
        <v>24</v>
      </c>
      <c r="B142" s="1" t="s">
        <v>7</v>
      </c>
      <c r="C142" s="1" t="s">
        <v>8</v>
      </c>
      <c r="D142" s="1" t="s">
        <v>8</v>
      </c>
      <c r="E142" s="1">
        <v>1</v>
      </c>
      <c r="F142" s="1">
        <v>0.45321280000098302</v>
      </c>
      <c r="G142" s="1">
        <f t="shared" si="2"/>
        <v>453.21280000098301</v>
      </c>
    </row>
    <row r="143" spans="1:7" x14ac:dyDescent="0.35">
      <c r="A143" s="1" t="s">
        <v>17</v>
      </c>
      <c r="B143" s="1" t="s">
        <v>10</v>
      </c>
      <c r="C143" s="1" t="s">
        <v>11</v>
      </c>
      <c r="D143" s="1" t="s">
        <v>11</v>
      </c>
      <c r="E143" s="1">
        <v>1</v>
      </c>
      <c r="F143" s="1">
        <v>1.0731192999992301</v>
      </c>
      <c r="G143" s="1">
        <f t="shared" si="2"/>
        <v>1073.11929999923</v>
      </c>
    </row>
    <row r="144" spans="1:7" x14ac:dyDescent="0.35">
      <c r="A144" s="1" t="s">
        <v>14</v>
      </c>
      <c r="B144" s="1" t="s">
        <v>10</v>
      </c>
      <c r="C144" s="1" t="s">
        <v>11</v>
      </c>
      <c r="D144" s="1" t="s">
        <v>11</v>
      </c>
      <c r="E144" s="1">
        <v>1</v>
      </c>
      <c r="F144" s="1">
        <v>1.5408535999995301</v>
      </c>
      <c r="G144" s="1">
        <f t="shared" si="2"/>
        <v>1540.8535999995302</v>
      </c>
    </row>
    <row r="145" spans="1:7" x14ac:dyDescent="0.35">
      <c r="A145" s="1" t="s">
        <v>26</v>
      </c>
      <c r="B145" s="1" t="s">
        <v>10</v>
      </c>
      <c r="C145" s="1" t="s">
        <v>11</v>
      </c>
      <c r="D145" s="1" t="s">
        <v>11</v>
      </c>
      <c r="E145" s="1">
        <v>1</v>
      </c>
      <c r="F145" s="1">
        <v>1.6047261000003299</v>
      </c>
      <c r="G145" s="1">
        <f t="shared" si="2"/>
        <v>1604.7261000003298</v>
      </c>
    </row>
    <row r="146" spans="1:7" x14ac:dyDescent="0.35">
      <c r="A146" s="1" t="s">
        <v>21</v>
      </c>
      <c r="B146" s="1" t="s">
        <v>10</v>
      </c>
      <c r="C146" s="1" t="s">
        <v>11</v>
      </c>
      <c r="D146" s="1" t="s">
        <v>11</v>
      </c>
      <c r="E146" s="1">
        <v>1</v>
      </c>
      <c r="F146" s="1">
        <v>1.9920201999993801</v>
      </c>
      <c r="G146" s="1">
        <f t="shared" si="2"/>
        <v>1992.0201999993801</v>
      </c>
    </row>
    <row r="147" spans="1:7" x14ac:dyDescent="0.35">
      <c r="A147" s="1" t="s">
        <v>25</v>
      </c>
      <c r="B147" s="1" t="s">
        <v>10</v>
      </c>
      <c r="C147" s="1" t="s">
        <v>11</v>
      </c>
      <c r="D147" s="1" t="s">
        <v>8</v>
      </c>
      <c r="E147" s="1">
        <v>0</v>
      </c>
      <c r="F147" s="1">
        <v>1.1970341999985901</v>
      </c>
      <c r="G147" s="1">
        <f t="shared" si="2"/>
        <v>1197.0341999985901</v>
      </c>
    </row>
    <row r="148" spans="1:7" x14ac:dyDescent="0.35">
      <c r="A148" s="1" t="s">
        <v>9</v>
      </c>
      <c r="B148" s="1" t="s">
        <v>10</v>
      </c>
      <c r="C148" s="1" t="s">
        <v>11</v>
      </c>
      <c r="D148" s="1" t="s">
        <v>11</v>
      </c>
      <c r="E148" s="1">
        <v>1</v>
      </c>
      <c r="F148" s="1">
        <v>1.44991160000063</v>
      </c>
      <c r="G148" s="1">
        <f t="shared" si="2"/>
        <v>1449.91160000063</v>
      </c>
    </row>
    <row r="149" spans="1:7" x14ac:dyDescent="0.35">
      <c r="A149" s="1" t="s">
        <v>6</v>
      </c>
      <c r="B149" s="1" t="s">
        <v>7</v>
      </c>
      <c r="C149" s="1" t="s">
        <v>8</v>
      </c>
      <c r="D149" s="1" t="s">
        <v>8</v>
      </c>
      <c r="E149" s="1">
        <v>1</v>
      </c>
      <c r="F149" s="1">
        <v>1.23077480000029</v>
      </c>
      <c r="G149" s="1">
        <f t="shared" si="2"/>
        <v>1230.77480000029</v>
      </c>
    </row>
    <row r="150" spans="1:7" x14ac:dyDescent="0.35">
      <c r="A150" s="1" t="s">
        <v>18</v>
      </c>
      <c r="B150" s="1" t="s">
        <v>7</v>
      </c>
      <c r="C150" s="1" t="s">
        <v>8</v>
      </c>
      <c r="D150" s="1" t="s">
        <v>8</v>
      </c>
      <c r="E150" s="1">
        <v>1</v>
      </c>
      <c r="F150" s="1">
        <v>0.74056730000120297</v>
      </c>
      <c r="G150" s="1">
        <f t="shared" si="2"/>
        <v>740.56730000120297</v>
      </c>
    </row>
    <row r="151" spans="1:7" x14ac:dyDescent="0.35">
      <c r="A151" s="1" t="s">
        <v>16</v>
      </c>
      <c r="B151" s="1" t="s">
        <v>10</v>
      </c>
      <c r="C151" s="1" t="s">
        <v>11</v>
      </c>
      <c r="D151" s="1" t="s">
        <v>11</v>
      </c>
      <c r="E151" s="1">
        <v>1</v>
      </c>
      <c r="F151" s="1">
        <v>1.9585160000005899</v>
      </c>
      <c r="G151" s="1">
        <f t="shared" si="2"/>
        <v>1958.5160000005899</v>
      </c>
    </row>
    <row r="152" spans="1:7" x14ac:dyDescent="0.35">
      <c r="A152" s="1" t="s">
        <v>28</v>
      </c>
      <c r="B152" s="1" t="s">
        <v>10</v>
      </c>
      <c r="C152" s="1" t="s">
        <v>11</v>
      </c>
      <c r="D152" s="1" t="s">
        <v>11</v>
      </c>
      <c r="E152" s="1">
        <v>1</v>
      </c>
      <c r="F152" s="1">
        <v>2.4730467000008498</v>
      </c>
      <c r="G152" s="1">
        <f t="shared" si="2"/>
        <v>2473.0467000008498</v>
      </c>
    </row>
    <row r="153" spans="1:7" x14ac:dyDescent="0.35">
      <c r="A153" s="1" t="s">
        <v>15</v>
      </c>
      <c r="B153" s="1" t="s">
        <v>7</v>
      </c>
      <c r="C153" s="1" t="s">
        <v>8</v>
      </c>
      <c r="D153" s="1" t="s">
        <v>8</v>
      </c>
      <c r="E153" s="1">
        <v>1</v>
      </c>
      <c r="F153" s="1">
        <v>0.70598919999974896</v>
      </c>
      <c r="G153" s="1">
        <f t="shared" si="2"/>
        <v>705.98919999974896</v>
      </c>
    </row>
    <row r="154" spans="1:7" x14ac:dyDescent="0.35">
      <c r="A154" s="1" t="s">
        <v>20</v>
      </c>
      <c r="B154" s="1" t="s">
        <v>10</v>
      </c>
      <c r="C154" s="1" t="s">
        <v>11</v>
      </c>
      <c r="D154" s="1" t="s">
        <v>11</v>
      </c>
      <c r="E154" s="1">
        <v>1</v>
      </c>
      <c r="F154" s="1">
        <v>1.9415288000000099</v>
      </c>
      <c r="G154" s="1">
        <f t="shared" si="2"/>
        <v>1941.5288000000098</v>
      </c>
    </row>
    <row r="155" spans="1:7" x14ac:dyDescent="0.35">
      <c r="A155" s="1" t="s">
        <v>19</v>
      </c>
      <c r="B155" s="1" t="s">
        <v>7</v>
      </c>
      <c r="C155" s="1" t="s">
        <v>8</v>
      </c>
      <c r="D155" s="1" t="s">
        <v>8</v>
      </c>
      <c r="E155" s="1">
        <v>1</v>
      </c>
      <c r="F155" s="1">
        <v>0.61224500000025694</v>
      </c>
      <c r="G155" s="1">
        <f t="shared" si="2"/>
        <v>612.24500000025694</v>
      </c>
    </row>
    <row r="156" spans="1:7" x14ac:dyDescent="0.35">
      <c r="A156" s="1" t="s">
        <v>27</v>
      </c>
      <c r="B156" s="1" t="s">
        <v>7</v>
      </c>
      <c r="C156" s="1" t="s">
        <v>8</v>
      </c>
      <c r="D156" s="1" t="s">
        <v>8</v>
      </c>
      <c r="E156" s="1">
        <v>1</v>
      </c>
      <c r="F156" s="1">
        <v>1.6417192999997401</v>
      </c>
      <c r="G156" s="1">
        <f t="shared" si="2"/>
        <v>1641.7192999997401</v>
      </c>
    </row>
    <row r="157" spans="1:7" x14ac:dyDescent="0.35">
      <c r="A157" s="1" t="s">
        <v>22</v>
      </c>
      <c r="B157" s="1" t="s">
        <v>7</v>
      </c>
      <c r="C157" s="1" t="s">
        <v>8</v>
      </c>
      <c r="D157" s="1" t="s">
        <v>8</v>
      </c>
      <c r="E157" s="1">
        <v>1</v>
      </c>
      <c r="F157" s="1">
        <v>0.51248209999903305</v>
      </c>
      <c r="G157" s="1">
        <f t="shared" si="2"/>
        <v>512.48209999903304</v>
      </c>
    </row>
    <row r="158" spans="1:7" x14ac:dyDescent="0.35">
      <c r="A158" s="1" t="s">
        <v>12</v>
      </c>
      <c r="B158" s="1" t="s">
        <v>7</v>
      </c>
      <c r="C158" s="1" t="s">
        <v>8</v>
      </c>
      <c r="D158" s="1" t="s">
        <v>8</v>
      </c>
      <c r="E158" s="1">
        <v>1</v>
      </c>
      <c r="F158" s="1">
        <v>0.42810970000027698</v>
      </c>
      <c r="G158" s="1">
        <f t="shared" si="2"/>
        <v>428.10970000027697</v>
      </c>
    </row>
    <row r="159" spans="1:7" x14ac:dyDescent="0.35">
      <c r="A159" s="1" t="s">
        <v>13</v>
      </c>
      <c r="B159" s="1" t="s">
        <v>7</v>
      </c>
      <c r="C159" s="1" t="s">
        <v>8</v>
      </c>
      <c r="D159" s="1" t="s">
        <v>8</v>
      </c>
      <c r="E159" s="1">
        <v>1</v>
      </c>
      <c r="F159" s="1">
        <v>0.53232650000063497</v>
      </c>
      <c r="G159" s="1">
        <f t="shared" si="2"/>
        <v>532.32650000063495</v>
      </c>
    </row>
    <row r="160" spans="1:7" x14ac:dyDescent="0.35">
      <c r="A160" s="1" t="s">
        <v>23</v>
      </c>
      <c r="B160" s="1" t="s">
        <v>10</v>
      </c>
      <c r="C160" s="1" t="s">
        <v>11</v>
      </c>
      <c r="D160" s="1" t="s">
        <v>11</v>
      </c>
      <c r="E160" s="1">
        <v>1</v>
      </c>
      <c r="F160" s="1">
        <v>1.21101710000039</v>
      </c>
      <c r="G160" s="1">
        <f t="shared" si="2"/>
        <v>1211.01710000039</v>
      </c>
    </row>
    <row r="161" spans="1:7" x14ac:dyDescent="0.35">
      <c r="A161" s="1" t="s">
        <v>29</v>
      </c>
      <c r="B161" s="1" t="s">
        <v>7</v>
      </c>
      <c r="C161" s="1" t="s">
        <v>8</v>
      </c>
      <c r="D161" s="1" t="s">
        <v>8</v>
      </c>
      <c r="E161" s="1">
        <v>1</v>
      </c>
      <c r="F161" s="1">
        <v>2.3404217000006602</v>
      </c>
      <c r="G161" s="1">
        <f t="shared" si="2"/>
        <v>2340.4217000006602</v>
      </c>
    </row>
    <row r="162" spans="1:7" x14ac:dyDescent="0.35">
      <c r="A162" s="1" t="s">
        <v>23</v>
      </c>
      <c r="B162" s="1" t="s">
        <v>10</v>
      </c>
      <c r="C162" s="1" t="s">
        <v>11</v>
      </c>
      <c r="D162" s="1" t="s">
        <v>11</v>
      </c>
      <c r="E162" s="1">
        <v>1</v>
      </c>
      <c r="F162" s="1">
        <v>1.5530500999993799</v>
      </c>
      <c r="G162" s="1">
        <f t="shared" si="2"/>
        <v>1553.0500999993799</v>
      </c>
    </row>
    <row r="163" spans="1:7" x14ac:dyDescent="0.35">
      <c r="A163" s="1" t="s">
        <v>15</v>
      </c>
      <c r="B163" s="1" t="s">
        <v>7</v>
      </c>
      <c r="C163" s="1" t="s">
        <v>8</v>
      </c>
      <c r="D163" s="1" t="s">
        <v>8</v>
      </c>
      <c r="E163" s="1">
        <v>1</v>
      </c>
      <c r="F163" s="1">
        <v>0.49276790000112602</v>
      </c>
      <c r="G163" s="1">
        <f t="shared" si="2"/>
        <v>492.76790000112601</v>
      </c>
    </row>
    <row r="164" spans="1:7" x14ac:dyDescent="0.35">
      <c r="A164" s="1" t="s">
        <v>16</v>
      </c>
      <c r="B164" s="1" t="s">
        <v>10</v>
      </c>
      <c r="C164" s="1" t="s">
        <v>11</v>
      </c>
      <c r="D164" s="1" t="s">
        <v>11</v>
      </c>
      <c r="E164" s="1">
        <v>1</v>
      </c>
      <c r="F164" s="1">
        <v>0.84401740000066605</v>
      </c>
      <c r="G164" s="1">
        <f t="shared" si="2"/>
        <v>844.01740000066604</v>
      </c>
    </row>
    <row r="165" spans="1:7" x14ac:dyDescent="0.35">
      <c r="A165" s="1" t="s">
        <v>29</v>
      </c>
      <c r="B165" s="1" t="s">
        <v>7</v>
      </c>
      <c r="C165" s="1" t="s">
        <v>8</v>
      </c>
      <c r="D165" s="1" t="s">
        <v>8</v>
      </c>
      <c r="E165" s="1">
        <v>1</v>
      </c>
      <c r="F165" s="1">
        <v>0.52261289999842098</v>
      </c>
      <c r="G165" s="1">
        <f t="shared" si="2"/>
        <v>522.61289999842097</v>
      </c>
    </row>
    <row r="166" spans="1:7" x14ac:dyDescent="0.35">
      <c r="A166" s="1" t="s">
        <v>14</v>
      </c>
      <c r="B166" s="1" t="s">
        <v>10</v>
      </c>
      <c r="C166" s="1" t="s">
        <v>11</v>
      </c>
      <c r="D166" s="1" t="s">
        <v>11</v>
      </c>
      <c r="E166" s="1">
        <v>1</v>
      </c>
      <c r="F166" s="1">
        <v>1.3155274000000601</v>
      </c>
      <c r="G166" s="1">
        <f t="shared" si="2"/>
        <v>1315.52740000006</v>
      </c>
    </row>
    <row r="167" spans="1:7" x14ac:dyDescent="0.35">
      <c r="A167" s="1" t="s">
        <v>18</v>
      </c>
      <c r="B167" s="1" t="s">
        <v>7</v>
      </c>
      <c r="C167" s="1" t="s">
        <v>8</v>
      </c>
      <c r="D167" s="1" t="s">
        <v>8</v>
      </c>
      <c r="E167" s="1">
        <v>1</v>
      </c>
      <c r="F167" s="1">
        <v>0.56088429999908795</v>
      </c>
      <c r="G167" s="1">
        <f t="shared" si="2"/>
        <v>560.88429999908794</v>
      </c>
    </row>
    <row r="168" spans="1:7" x14ac:dyDescent="0.35">
      <c r="A168" s="1" t="s">
        <v>28</v>
      </c>
      <c r="B168" s="1" t="s">
        <v>10</v>
      </c>
      <c r="C168" s="1" t="s">
        <v>11</v>
      </c>
      <c r="D168" s="1" t="s">
        <v>11</v>
      </c>
      <c r="E168" s="1">
        <v>1</v>
      </c>
      <c r="F168" s="1">
        <v>1.2664754000015801</v>
      </c>
      <c r="G168" s="1">
        <f t="shared" si="2"/>
        <v>1266.4754000015801</v>
      </c>
    </row>
    <row r="169" spans="1:7" x14ac:dyDescent="0.35">
      <c r="A169" s="1" t="s">
        <v>27</v>
      </c>
      <c r="B169" s="1" t="s">
        <v>7</v>
      </c>
      <c r="C169" s="1" t="s">
        <v>8</v>
      </c>
      <c r="D169" s="1" t="s">
        <v>8</v>
      </c>
      <c r="E169" s="1">
        <v>1</v>
      </c>
      <c r="F169" s="1">
        <v>0.47824970000146999</v>
      </c>
      <c r="G169" s="1">
        <f t="shared" si="2"/>
        <v>478.24970000146999</v>
      </c>
    </row>
    <row r="170" spans="1:7" x14ac:dyDescent="0.35">
      <c r="A170" s="1" t="s">
        <v>22</v>
      </c>
      <c r="B170" s="1" t="s">
        <v>7</v>
      </c>
      <c r="C170" s="1" t="s">
        <v>8</v>
      </c>
      <c r="D170" s="1" t="s">
        <v>8</v>
      </c>
      <c r="E170" s="1">
        <v>1</v>
      </c>
      <c r="F170" s="1">
        <v>0.90867500000058499</v>
      </c>
      <c r="G170" s="1">
        <f t="shared" si="2"/>
        <v>908.67500000058499</v>
      </c>
    </row>
    <row r="171" spans="1:7" x14ac:dyDescent="0.35">
      <c r="A171" s="1" t="s">
        <v>13</v>
      </c>
      <c r="B171" s="1" t="s">
        <v>7</v>
      </c>
      <c r="C171" s="1" t="s">
        <v>8</v>
      </c>
      <c r="D171" s="1" t="s">
        <v>8</v>
      </c>
      <c r="E171" s="1">
        <v>1</v>
      </c>
      <c r="F171" s="1">
        <v>0.424997500000245</v>
      </c>
      <c r="G171" s="1">
        <f t="shared" si="2"/>
        <v>424.997500000245</v>
      </c>
    </row>
    <row r="172" spans="1:7" x14ac:dyDescent="0.35">
      <c r="A172" s="1" t="s">
        <v>9</v>
      </c>
      <c r="B172" s="1" t="s">
        <v>10</v>
      </c>
      <c r="C172" s="1" t="s">
        <v>11</v>
      </c>
      <c r="D172" s="1" t="s">
        <v>11</v>
      </c>
      <c r="E172" s="1">
        <v>1</v>
      </c>
      <c r="F172" s="1">
        <v>0.97049490000062999</v>
      </c>
      <c r="G172" s="1">
        <f t="shared" si="2"/>
        <v>970.49490000062997</v>
      </c>
    </row>
    <row r="173" spans="1:7" x14ac:dyDescent="0.35">
      <c r="A173" s="1" t="s">
        <v>20</v>
      </c>
      <c r="B173" s="1" t="s">
        <v>10</v>
      </c>
      <c r="C173" s="1" t="s">
        <v>11</v>
      </c>
      <c r="D173" s="1" t="s">
        <v>11</v>
      </c>
      <c r="E173" s="1">
        <v>1</v>
      </c>
      <c r="F173" s="1">
        <v>0.96613310000066099</v>
      </c>
      <c r="G173" s="1">
        <f t="shared" si="2"/>
        <v>966.13310000066099</v>
      </c>
    </row>
    <row r="174" spans="1:7" x14ac:dyDescent="0.35">
      <c r="A174" s="1" t="s">
        <v>6</v>
      </c>
      <c r="B174" s="1" t="s">
        <v>7</v>
      </c>
      <c r="C174" s="1" t="s">
        <v>8</v>
      </c>
      <c r="D174" s="1" t="s">
        <v>8</v>
      </c>
      <c r="E174" s="1">
        <v>1</v>
      </c>
      <c r="F174" s="1">
        <v>0.55764230000022497</v>
      </c>
      <c r="G174" s="1">
        <f t="shared" si="2"/>
        <v>557.64230000022496</v>
      </c>
    </row>
    <row r="175" spans="1:7" x14ac:dyDescent="0.35">
      <c r="A175" s="1" t="s">
        <v>25</v>
      </c>
      <c r="B175" s="1" t="s">
        <v>10</v>
      </c>
      <c r="C175" s="1" t="s">
        <v>11</v>
      </c>
      <c r="D175" s="1" t="s">
        <v>8</v>
      </c>
      <c r="E175" s="1">
        <v>0</v>
      </c>
      <c r="F175" s="1">
        <v>3.5237371000002802</v>
      </c>
      <c r="G175" s="1">
        <f t="shared" si="2"/>
        <v>3523.73710000028</v>
      </c>
    </row>
    <row r="176" spans="1:7" x14ac:dyDescent="0.35">
      <c r="A176" s="1" t="s">
        <v>26</v>
      </c>
      <c r="B176" s="1" t="s">
        <v>10</v>
      </c>
      <c r="C176" s="1" t="s">
        <v>11</v>
      </c>
      <c r="D176" s="1" t="s">
        <v>11</v>
      </c>
      <c r="E176" s="1">
        <v>1</v>
      </c>
      <c r="F176" s="1">
        <v>1.1126432999990301</v>
      </c>
      <c r="G176" s="1">
        <f t="shared" si="2"/>
        <v>1112.6432999990302</v>
      </c>
    </row>
    <row r="177" spans="1:7" x14ac:dyDescent="0.35">
      <c r="A177" s="1" t="s">
        <v>17</v>
      </c>
      <c r="B177" s="1" t="s">
        <v>10</v>
      </c>
      <c r="C177" s="1" t="s">
        <v>11</v>
      </c>
      <c r="D177" s="1" t="s">
        <v>8</v>
      </c>
      <c r="E177" s="1">
        <v>0</v>
      </c>
      <c r="F177" s="1">
        <v>0.63524959999995101</v>
      </c>
      <c r="G177" s="1">
        <f t="shared" si="2"/>
        <v>635.24959999995099</v>
      </c>
    </row>
    <row r="178" spans="1:7" x14ac:dyDescent="0.35">
      <c r="A178" s="1" t="s">
        <v>19</v>
      </c>
      <c r="B178" s="1" t="s">
        <v>7</v>
      </c>
      <c r="C178" s="1" t="s">
        <v>8</v>
      </c>
      <c r="D178" s="1" t="s">
        <v>8</v>
      </c>
      <c r="E178" s="1">
        <v>1</v>
      </c>
      <c r="F178" s="1">
        <v>0.49039470000025098</v>
      </c>
      <c r="G178" s="1">
        <f t="shared" si="2"/>
        <v>490.39470000025096</v>
      </c>
    </row>
    <row r="179" spans="1:7" x14ac:dyDescent="0.35">
      <c r="A179" s="1" t="s">
        <v>12</v>
      </c>
      <c r="B179" s="1" t="s">
        <v>7</v>
      </c>
      <c r="C179" s="1" t="s">
        <v>8</v>
      </c>
      <c r="D179" s="1" t="s">
        <v>8</v>
      </c>
      <c r="E179" s="1">
        <v>1</v>
      </c>
      <c r="F179" s="1">
        <v>0.70841640000071404</v>
      </c>
      <c r="G179" s="1">
        <f t="shared" si="2"/>
        <v>708.41640000071402</v>
      </c>
    </row>
    <row r="180" spans="1:7" x14ac:dyDescent="0.35">
      <c r="A180" s="1" t="s">
        <v>21</v>
      </c>
      <c r="B180" s="1" t="s">
        <v>10</v>
      </c>
      <c r="C180" s="1" t="s">
        <v>11</v>
      </c>
      <c r="D180" s="1" t="s">
        <v>11</v>
      </c>
      <c r="E180" s="1">
        <v>1</v>
      </c>
      <c r="F180" s="1">
        <v>0.85557569999946204</v>
      </c>
      <c r="G180" s="1">
        <f t="shared" si="2"/>
        <v>855.57569999946202</v>
      </c>
    </row>
    <row r="181" spans="1:7" x14ac:dyDescent="0.35">
      <c r="A181" s="1" t="s">
        <v>24</v>
      </c>
      <c r="B181" s="1" t="s">
        <v>7</v>
      </c>
      <c r="C181" s="1" t="s">
        <v>8</v>
      </c>
      <c r="D181" s="1" t="s">
        <v>8</v>
      </c>
      <c r="E181" s="1">
        <v>1</v>
      </c>
      <c r="F181" s="1">
        <v>2.97983299999941</v>
      </c>
      <c r="G181" s="1">
        <f t="shared" si="2"/>
        <v>2979.8329999994098</v>
      </c>
    </row>
    <row r="182" spans="1:7" x14ac:dyDescent="0.35">
      <c r="A182" s="1" t="s">
        <v>24</v>
      </c>
      <c r="B182" s="1" t="s">
        <v>7</v>
      </c>
      <c r="C182" s="1" t="s">
        <v>8</v>
      </c>
      <c r="D182" s="1" t="s">
        <v>8</v>
      </c>
      <c r="E182" s="1">
        <v>1</v>
      </c>
      <c r="F182" s="1">
        <v>0.51289429999997005</v>
      </c>
      <c r="G182" s="1">
        <f t="shared" si="2"/>
        <v>512.89429999997003</v>
      </c>
    </row>
    <row r="183" spans="1:7" x14ac:dyDescent="0.35">
      <c r="A183" s="1" t="s">
        <v>19</v>
      </c>
      <c r="B183" s="1" t="s">
        <v>7</v>
      </c>
      <c r="C183" s="1" t="s">
        <v>8</v>
      </c>
      <c r="D183" s="1" t="s">
        <v>8</v>
      </c>
      <c r="E183" s="1">
        <v>1</v>
      </c>
      <c r="F183" s="1">
        <v>0.927256500001021</v>
      </c>
      <c r="G183" s="1">
        <f t="shared" si="2"/>
        <v>927.25650000102098</v>
      </c>
    </row>
    <row r="184" spans="1:7" x14ac:dyDescent="0.35">
      <c r="A184" s="1" t="s">
        <v>13</v>
      </c>
      <c r="B184" s="1" t="s">
        <v>7</v>
      </c>
      <c r="C184" s="1" t="s">
        <v>8</v>
      </c>
      <c r="D184" s="1" t="s">
        <v>8</v>
      </c>
      <c r="E184" s="1">
        <v>1</v>
      </c>
      <c r="F184" s="1">
        <v>0.49748439999893801</v>
      </c>
      <c r="G184" s="1">
        <f t="shared" si="2"/>
        <v>497.48439999893799</v>
      </c>
    </row>
    <row r="185" spans="1:7" x14ac:dyDescent="0.35">
      <c r="A185" s="1" t="s">
        <v>15</v>
      </c>
      <c r="B185" s="1" t="s">
        <v>7</v>
      </c>
      <c r="C185" s="1" t="s">
        <v>8</v>
      </c>
      <c r="D185" s="1" t="s">
        <v>8</v>
      </c>
      <c r="E185" s="1">
        <v>1</v>
      </c>
      <c r="F185" s="1">
        <v>0.56906049999997699</v>
      </c>
      <c r="G185" s="1">
        <f t="shared" si="2"/>
        <v>569.06049999997697</v>
      </c>
    </row>
    <row r="186" spans="1:7" x14ac:dyDescent="0.35">
      <c r="A186" s="1" t="s">
        <v>25</v>
      </c>
      <c r="B186" s="1" t="s">
        <v>10</v>
      </c>
      <c r="C186" s="1" t="s">
        <v>11</v>
      </c>
      <c r="D186" s="1" t="s">
        <v>8</v>
      </c>
      <c r="E186" s="1">
        <v>0</v>
      </c>
      <c r="F186" s="1">
        <v>0.95921509999971</v>
      </c>
      <c r="G186" s="1">
        <f t="shared" si="2"/>
        <v>959.21509999970999</v>
      </c>
    </row>
    <row r="187" spans="1:7" x14ac:dyDescent="0.35">
      <c r="A187" s="1" t="s">
        <v>27</v>
      </c>
      <c r="B187" s="1" t="s">
        <v>7</v>
      </c>
      <c r="C187" s="1" t="s">
        <v>8</v>
      </c>
      <c r="D187" s="1" t="s">
        <v>8</v>
      </c>
      <c r="E187" s="1">
        <v>1</v>
      </c>
      <c r="F187" s="1">
        <v>0.55956000000151096</v>
      </c>
      <c r="G187" s="1">
        <f t="shared" si="2"/>
        <v>559.56000000151096</v>
      </c>
    </row>
    <row r="188" spans="1:7" x14ac:dyDescent="0.35">
      <c r="A188" s="1" t="s">
        <v>14</v>
      </c>
      <c r="B188" s="1" t="s">
        <v>10</v>
      </c>
      <c r="C188" s="1" t="s">
        <v>11</v>
      </c>
      <c r="D188" s="1" t="s">
        <v>11</v>
      </c>
      <c r="E188" s="1">
        <v>1</v>
      </c>
      <c r="F188" s="1">
        <v>0.85212250000040501</v>
      </c>
      <c r="G188" s="1">
        <f t="shared" si="2"/>
        <v>852.12250000040501</v>
      </c>
    </row>
    <row r="189" spans="1:7" x14ac:dyDescent="0.35">
      <c r="A189" s="1" t="s">
        <v>22</v>
      </c>
      <c r="B189" s="1" t="s">
        <v>7</v>
      </c>
      <c r="C189" s="1" t="s">
        <v>8</v>
      </c>
      <c r="D189" s="1" t="s">
        <v>8</v>
      </c>
      <c r="E189" s="1">
        <v>1</v>
      </c>
      <c r="F189" s="1">
        <v>0.84109590000116397</v>
      </c>
      <c r="G189" s="1">
        <f t="shared" si="2"/>
        <v>841.09590000116395</v>
      </c>
    </row>
    <row r="190" spans="1:7" x14ac:dyDescent="0.35">
      <c r="A190" s="1" t="s">
        <v>21</v>
      </c>
      <c r="B190" s="1" t="s">
        <v>10</v>
      </c>
      <c r="C190" s="1" t="s">
        <v>11</v>
      </c>
      <c r="D190" s="1" t="s">
        <v>11</v>
      </c>
      <c r="E190" s="1">
        <v>1</v>
      </c>
      <c r="F190" s="1">
        <v>2.7659937999997002</v>
      </c>
      <c r="G190" s="1">
        <f t="shared" si="2"/>
        <v>2765.9937999997001</v>
      </c>
    </row>
    <row r="191" spans="1:7" x14ac:dyDescent="0.35">
      <c r="A191" s="1" t="s">
        <v>9</v>
      </c>
      <c r="B191" s="1" t="s">
        <v>10</v>
      </c>
      <c r="C191" s="1" t="s">
        <v>11</v>
      </c>
      <c r="D191" s="1" t="s">
        <v>11</v>
      </c>
      <c r="E191" s="1">
        <v>1</v>
      </c>
      <c r="F191" s="1">
        <v>0.72207030000026795</v>
      </c>
      <c r="G191" s="1">
        <f t="shared" si="2"/>
        <v>722.07030000026793</v>
      </c>
    </row>
    <row r="192" spans="1:7" x14ac:dyDescent="0.35">
      <c r="A192" s="1" t="s">
        <v>26</v>
      </c>
      <c r="B192" s="1" t="s">
        <v>10</v>
      </c>
      <c r="C192" s="1" t="s">
        <v>11</v>
      </c>
      <c r="D192" s="1" t="s">
        <v>11</v>
      </c>
      <c r="E192" s="1">
        <v>1</v>
      </c>
      <c r="F192" s="1">
        <v>1.54102650000095</v>
      </c>
      <c r="G192" s="1">
        <f t="shared" si="2"/>
        <v>1541.0265000009499</v>
      </c>
    </row>
    <row r="193" spans="1:7" x14ac:dyDescent="0.35">
      <c r="A193" s="1" t="s">
        <v>29</v>
      </c>
      <c r="B193" s="1" t="s">
        <v>7</v>
      </c>
      <c r="C193" s="1" t="s">
        <v>8</v>
      </c>
      <c r="D193" s="1" t="s">
        <v>8</v>
      </c>
      <c r="E193" s="1">
        <v>1</v>
      </c>
      <c r="F193" s="1">
        <v>0.54543770000054703</v>
      </c>
      <c r="G193" s="1">
        <f t="shared" si="2"/>
        <v>545.43770000054701</v>
      </c>
    </row>
    <row r="194" spans="1:7" x14ac:dyDescent="0.35">
      <c r="A194" s="1" t="s">
        <v>16</v>
      </c>
      <c r="B194" s="1" t="s">
        <v>10</v>
      </c>
      <c r="C194" s="1" t="s">
        <v>11</v>
      </c>
      <c r="D194" s="1" t="s">
        <v>8</v>
      </c>
      <c r="E194" s="1">
        <v>0</v>
      </c>
      <c r="F194" s="1">
        <v>0.448081799999272</v>
      </c>
      <c r="G194" s="1">
        <f t="shared" si="2"/>
        <v>448.08179999927199</v>
      </c>
    </row>
    <row r="195" spans="1:7" x14ac:dyDescent="0.35">
      <c r="A195" s="1" t="s">
        <v>6</v>
      </c>
      <c r="B195" s="1" t="s">
        <v>7</v>
      </c>
      <c r="C195" s="1" t="s">
        <v>8</v>
      </c>
      <c r="D195" s="1" t="s">
        <v>8</v>
      </c>
      <c r="E195" s="1">
        <v>1</v>
      </c>
      <c r="F195" s="1">
        <v>0.48113770000054501</v>
      </c>
      <c r="G195" s="1">
        <f t="shared" ref="G195:G201" si="3">F195*1000</f>
        <v>481.13770000054501</v>
      </c>
    </row>
    <row r="196" spans="1:7" x14ac:dyDescent="0.35">
      <c r="A196" s="1" t="s">
        <v>28</v>
      </c>
      <c r="B196" s="1" t="s">
        <v>10</v>
      </c>
      <c r="C196" s="1" t="s">
        <v>11</v>
      </c>
      <c r="D196" s="1" t="s">
        <v>11</v>
      </c>
      <c r="E196" s="1">
        <v>1</v>
      </c>
      <c r="F196" s="1">
        <v>0.95213060000060001</v>
      </c>
      <c r="G196" s="1">
        <f t="shared" si="3"/>
        <v>952.1306000006</v>
      </c>
    </row>
    <row r="197" spans="1:7" x14ac:dyDescent="0.35">
      <c r="A197" s="1" t="s">
        <v>18</v>
      </c>
      <c r="B197" s="1" t="s">
        <v>7</v>
      </c>
      <c r="C197" s="1" t="s">
        <v>8</v>
      </c>
      <c r="D197" s="1" t="s">
        <v>8</v>
      </c>
      <c r="E197" s="1">
        <v>1</v>
      </c>
      <c r="F197" s="1">
        <v>0.58028979999835395</v>
      </c>
      <c r="G197" s="1">
        <f t="shared" si="3"/>
        <v>580.28979999835394</v>
      </c>
    </row>
    <row r="198" spans="1:7" x14ac:dyDescent="0.35">
      <c r="A198" s="1" t="s">
        <v>20</v>
      </c>
      <c r="B198" s="1" t="s">
        <v>10</v>
      </c>
      <c r="C198" s="1" t="s">
        <v>11</v>
      </c>
      <c r="D198" s="1" t="s">
        <v>11</v>
      </c>
      <c r="E198" s="1">
        <v>1</v>
      </c>
      <c r="F198" s="1">
        <v>0.97370450000016695</v>
      </c>
      <c r="G198" s="1">
        <f t="shared" si="3"/>
        <v>973.70450000016695</v>
      </c>
    </row>
    <row r="199" spans="1:7" x14ac:dyDescent="0.35">
      <c r="A199" s="1" t="s">
        <v>17</v>
      </c>
      <c r="B199" s="1" t="s">
        <v>10</v>
      </c>
      <c r="C199" s="1" t="s">
        <v>11</v>
      </c>
      <c r="D199" s="1" t="s">
        <v>11</v>
      </c>
      <c r="E199" s="1">
        <v>1</v>
      </c>
      <c r="F199" s="1">
        <v>0.722197099999903</v>
      </c>
      <c r="G199" s="1">
        <f t="shared" si="3"/>
        <v>722.197099999903</v>
      </c>
    </row>
    <row r="200" spans="1:7" x14ac:dyDescent="0.35">
      <c r="A200" s="1" t="s">
        <v>23</v>
      </c>
      <c r="B200" s="1" t="s">
        <v>10</v>
      </c>
      <c r="C200" s="1" t="s">
        <v>11</v>
      </c>
      <c r="D200" s="1" t="s">
        <v>11</v>
      </c>
      <c r="E200" s="1">
        <v>1</v>
      </c>
      <c r="F200" s="1">
        <v>0.815531299998838</v>
      </c>
      <c r="G200" s="1">
        <f t="shared" si="3"/>
        <v>815.53129999883799</v>
      </c>
    </row>
    <row r="201" spans="1:7" x14ac:dyDescent="0.35">
      <c r="A201" s="1" t="s">
        <v>12</v>
      </c>
      <c r="B201" s="1" t="s">
        <v>7</v>
      </c>
      <c r="C201" s="1" t="s">
        <v>8</v>
      </c>
      <c r="D201" s="1" t="s">
        <v>8</v>
      </c>
      <c r="E201" s="1">
        <v>1</v>
      </c>
      <c r="F201" s="1">
        <v>0.97848840000005999</v>
      </c>
      <c r="G201" s="1">
        <f t="shared" si="3"/>
        <v>978.48840000005998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C5129-26C8-49F8-8F14-EB8DC633E57C}">
  <dimension ref="A1:K201"/>
  <sheetViews>
    <sheetView workbookViewId="0">
      <selection activeCell="J7" sqref="J7"/>
    </sheetView>
  </sheetViews>
  <sheetFormatPr defaultRowHeight="14.5" x14ac:dyDescent="0.35"/>
  <cols>
    <col min="1" max="9" width="11" customWidth="1"/>
    <col min="10" max="10" width="17" customWidth="1"/>
    <col min="11" max="47" width="1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30</v>
      </c>
    </row>
    <row r="2" spans="1:11" x14ac:dyDescent="0.35">
      <c r="A2" s="1" t="s">
        <v>29</v>
      </c>
      <c r="B2" s="1" t="s">
        <v>7</v>
      </c>
      <c r="C2" s="1" t="s">
        <v>8</v>
      </c>
      <c r="D2" s="1" t="s">
        <v>8</v>
      </c>
      <c r="E2" s="1">
        <v>1</v>
      </c>
      <c r="F2" s="1">
        <v>0.70651519999955703</v>
      </c>
      <c r="G2" s="1">
        <f>F2*1000</f>
        <v>706.51519999955701</v>
      </c>
    </row>
    <row r="3" spans="1:11" x14ac:dyDescent="0.35">
      <c r="A3" s="1" t="s">
        <v>21</v>
      </c>
      <c r="B3" s="1" t="s">
        <v>10</v>
      </c>
      <c r="C3" s="1" t="s">
        <v>11</v>
      </c>
      <c r="D3" s="1" t="s">
        <v>11</v>
      </c>
      <c r="E3" s="1">
        <v>1</v>
      </c>
      <c r="F3" s="1">
        <v>0.96361430000069903</v>
      </c>
      <c r="G3" s="1">
        <f t="shared" ref="G3:G66" si="0">F3*1000</f>
        <v>963.61430000069902</v>
      </c>
    </row>
    <row r="4" spans="1:11" x14ac:dyDescent="0.35">
      <c r="A4" s="1" t="s">
        <v>26</v>
      </c>
      <c r="B4" s="1" t="s">
        <v>10</v>
      </c>
      <c r="C4" s="1" t="s">
        <v>11</v>
      </c>
      <c r="D4" s="1" t="s">
        <v>11</v>
      </c>
      <c r="E4" s="1">
        <v>1</v>
      </c>
      <c r="F4" s="1">
        <v>0.96930729999985399</v>
      </c>
      <c r="G4" s="1">
        <f t="shared" si="0"/>
        <v>969.30729999985397</v>
      </c>
    </row>
    <row r="5" spans="1:11" x14ac:dyDescent="0.35">
      <c r="A5" s="1" t="s">
        <v>27</v>
      </c>
      <c r="B5" s="1" t="s">
        <v>7</v>
      </c>
      <c r="C5" s="1" t="s">
        <v>8</v>
      </c>
      <c r="D5" s="1" t="s">
        <v>8</v>
      </c>
      <c r="E5" s="1">
        <v>1</v>
      </c>
      <c r="F5" s="1">
        <v>0.59412960000008697</v>
      </c>
      <c r="G5" s="1">
        <f t="shared" si="0"/>
        <v>594.12960000008695</v>
      </c>
    </row>
    <row r="6" spans="1:11" x14ac:dyDescent="0.35">
      <c r="A6" s="1" t="s">
        <v>19</v>
      </c>
      <c r="B6" s="1" t="s">
        <v>7</v>
      </c>
      <c r="C6" s="1" t="s">
        <v>8</v>
      </c>
      <c r="D6" s="1" t="s">
        <v>8</v>
      </c>
      <c r="E6" s="1">
        <v>1</v>
      </c>
      <c r="F6" s="1">
        <v>0.50955720000092697</v>
      </c>
      <c r="G6" s="1">
        <f t="shared" si="0"/>
        <v>509.55720000092697</v>
      </c>
      <c r="I6" s="1" t="s">
        <v>31</v>
      </c>
      <c r="J6" s="1" t="s">
        <v>32</v>
      </c>
      <c r="K6" s="1" t="s">
        <v>33</v>
      </c>
    </row>
    <row r="7" spans="1:11" x14ac:dyDescent="0.35">
      <c r="A7" s="1" t="s">
        <v>9</v>
      </c>
      <c r="B7" s="1" t="s">
        <v>10</v>
      </c>
      <c r="C7" s="1" t="s">
        <v>11</v>
      </c>
      <c r="D7" s="1" t="s">
        <v>8</v>
      </c>
      <c r="E7" s="1">
        <v>0</v>
      </c>
      <c r="F7" s="1">
        <v>1.4049472000006</v>
      </c>
      <c r="G7" s="1">
        <f t="shared" si="0"/>
        <v>1404.9472000006001</v>
      </c>
      <c r="I7" s="1" t="s">
        <v>34</v>
      </c>
      <c r="J7" s="1">
        <f>AVERAGEIF(B1:B201,"word",E1:E201)*100</f>
        <v>100</v>
      </c>
      <c r="K7" s="1">
        <f>COUNTIFS(B1:B201,"word",E1:E201,0)</f>
        <v>0</v>
      </c>
    </row>
    <row r="8" spans="1:11" x14ac:dyDescent="0.35">
      <c r="A8" s="1" t="s">
        <v>28</v>
      </c>
      <c r="B8" s="1" t="s">
        <v>10</v>
      </c>
      <c r="C8" s="1" t="s">
        <v>11</v>
      </c>
      <c r="D8" s="1" t="s">
        <v>11</v>
      </c>
      <c r="E8" s="1">
        <v>1</v>
      </c>
      <c r="F8" s="1">
        <v>0.90318909999950803</v>
      </c>
      <c r="G8" s="1">
        <f t="shared" si="0"/>
        <v>903.18909999950802</v>
      </c>
      <c r="I8" s="1" t="s">
        <v>35</v>
      </c>
      <c r="J8" s="1">
        <f>AVERAGEIF(B1:B201,"nonword",E1:E201)*100</f>
        <v>74</v>
      </c>
      <c r="K8" s="1">
        <f>COUNTIFS(B1:B201,"nonword",E1:E201,0)</f>
        <v>26</v>
      </c>
    </row>
    <row r="9" spans="1:11" x14ac:dyDescent="0.35">
      <c r="A9" s="1" t="s">
        <v>20</v>
      </c>
      <c r="B9" s="1" t="s">
        <v>10</v>
      </c>
      <c r="C9" s="1" t="s">
        <v>11</v>
      </c>
      <c r="D9" s="1" t="s">
        <v>11</v>
      </c>
      <c r="E9" s="1">
        <v>1</v>
      </c>
      <c r="F9" s="1">
        <v>0.75442240000120298</v>
      </c>
      <c r="G9" s="1">
        <f t="shared" si="0"/>
        <v>754.42240000120296</v>
      </c>
    </row>
    <row r="10" spans="1:11" x14ac:dyDescent="0.35">
      <c r="A10" s="1" t="s">
        <v>17</v>
      </c>
      <c r="B10" s="1" t="s">
        <v>10</v>
      </c>
      <c r="C10" s="1" t="s">
        <v>11</v>
      </c>
      <c r="D10" s="1" t="s">
        <v>11</v>
      </c>
      <c r="E10" s="1">
        <v>1</v>
      </c>
      <c r="F10" s="1">
        <v>1.37597660000028</v>
      </c>
      <c r="G10" s="1">
        <f t="shared" si="0"/>
        <v>1375.9766000002801</v>
      </c>
      <c r="I10" s="1" t="s">
        <v>36</v>
      </c>
      <c r="J10" s="1" t="s">
        <v>37</v>
      </c>
    </row>
    <row r="11" spans="1:11" x14ac:dyDescent="0.35">
      <c r="A11" s="1" t="s">
        <v>24</v>
      </c>
      <c r="B11" s="1" t="s">
        <v>7</v>
      </c>
      <c r="C11" s="1" t="s">
        <v>8</v>
      </c>
      <c r="D11" s="1" t="s">
        <v>8</v>
      </c>
      <c r="E11" s="1">
        <v>1</v>
      </c>
      <c r="F11" s="1">
        <v>0.715146799999274</v>
      </c>
      <c r="G11" s="1">
        <f t="shared" si="0"/>
        <v>715.14679999927398</v>
      </c>
      <c r="I11" s="1" t="s">
        <v>34</v>
      </c>
      <c r="J11" s="1">
        <f>AVERAGEIF(B1:B201,"word",F1:F201)</f>
        <v>0.82427317099996689</v>
      </c>
    </row>
    <row r="12" spans="1:11" x14ac:dyDescent="0.35">
      <c r="A12" s="1" t="s">
        <v>12</v>
      </c>
      <c r="B12" s="1" t="s">
        <v>7</v>
      </c>
      <c r="C12" s="1" t="s">
        <v>8</v>
      </c>
      <c r="D12" s="1" t="s">
        <v>8</v>
      </c>
      <c r="E12" s="1">
        <v>1</v>
      </c>
      <c r="F12" s="1">
        <v>0.42672089999905399</v>
      </c>
      <c r="G12" s="1">
        <f t="shared" si="0"/>
        <v>426.72089999905398</v>
      </c>
      <c r="I12" s="1" t="s">
        <v>38</v>
      </c>
      <c r="J12" s="1">
        <f>AVERAGEIF(B1:B201,"nonword",F1:F201)</f>
        <v>1.3675481780001215</v>
      </c>
    </row>
    <row r="13" spans="1:11" x14ac:dyDescent="0.35">
      <c r="A13" s="1" t="s">
        <v>23</v>
      </c>
      <c r="B13" s="1" t="s">
        <v>10</v>
      </c>
      <c r="C13" s="1" t="s">
        <v>11</v>
      </c>
      <c r="D13" s="1" t="s">
        <v>8</v>
      </c>
      <c r="E13" s="1">
        <v>0</v>
      </c>
      <c r="F13" s="1">
        <v>1.3140086000003</v>
      </c>
      <c r="G13" s="1">
        <f t="shared" si="0"/>
        <v>1314.0086000003</v>
      </c>
    </row>
    <row r="14" spans="1:11" x14ac:dyDescent="0.35">
      <c r="A14" s="1" t="s">
        <v>22</v>
      </c>
      <c r="B14" s="1" t="s">
        <v>7</v>
      </c>
      <c r="C14" s="1" t="s">
        <v>8</v>
      </c>
      <c r="D14" s="1" t="s">
        <v>8</v>
      </c>
      <c r="E14" s="1">
        <v>1</v>
      </c>
      <c r="F14" s="1">
        <v>0.62292720000004898</v>
      </c>
      <c r="G14" s="1">
        <f t="shared" si="0"/>
        <v>622.92720000004897</v>
      </c>
    </row>
    <row r="15" spans="1:11" x14ac:dyDescent="0.35">
      <c r="A15" s="1" t="s">
        <v>14</v>
      </c>
      <c r="B15" s="1" t="s">
        <v>10</v>
      </c>
      <c r="C15" s="1" t="s">
        <v>11</v>
      </c>
      <c r="D15" s="1" t="s">
        <v>11</v>
      </c>
      <c r="E15" s="1">
        <v>1</v>
      </c>
      <c r="F15" s="1">
        <v>0.84503359999871397</v>
      </c>
      <c r="G15" s="1">
        <f t="shared" si="0"/>
        <v>845.03359999871395</v>
      </c>
    </row>
    <row r="16" spans="1:11" x14ac:dyDescent="0.35">
      <c r="A16" s="1" t="s">
        <v>18</v>
      </c>
      <c r="B16" s="1" t="s">
        <v>7</v>
      </c>
      <c r="C16" s="1" t="s">
        <v>8</v>
      </c>
      <c r="D16" s="1" t="s">
        <v>8</v>
      </c>
      <c r="E16" s="1">
        <v>1</v>
      </c>
      <c r="F16" s="1">
        <v>0.80793640000047096</v>
      </c>
      <c r="G16" s="1">
        <f t="shared" si="0"/>
        <v>807.93640000047094</v>
      </c>
    </row>
    <row r="17" spans="1:7" x14ac:dyDescent="0.35">
      <c r="A17" s="1" t="s">
        <v>6</v>
      </c>
      <c r="B17" s="1" t="s">
        <v>7</v>
      </c>
      <c r="C17" s="1" t="s">
        <v>8</v>
      </c>
      <c r="D17" s="1" t="s">
        <v>8</v>
      </c>
      <c r="E17" s="1">
        <v>1</v>
      </c>
      <c r="F17" s="1">
        <v>0.67638380000062104</v>
      </c>
      <c r="G17" s="1">
        <f t="shared" si="0"/>
        <v>676.38380000062102</v>
      </c>
    </row>
    <row r="18" spans="1:7" x14ac:dyDescent="0.35">
      <c r="A18" s="1" t="s">
        <v>13</v>
      </c>
      <c r="B18" s="1" t="s">
        <v>7</v>
      </c>
      <c r="C18" s="1" t="s">
        <v>8</v>
      </c>
      <c r="D18" s="1" t="s">
        <v>8</v>
      </c>
      <c r="E18" s="1">
        <v>1</v>
      </c>
      <c r="F18" s="1">
        <v>0.70883700000012995</v>
      </c>
      <c r="G18" s="1">
        <f t="shared" si="0"/>
        <v>708.83700000012993</v>
      </c>
    </row>
    <row r="19" spans="1:7" x14ac:dyDescent="0.35">
      <c r="A19" s="1" t="s">
        <v>15</v>
      </c>
      <c r="B19" s="1" t="s">
        <v>7</v>
      </c>
      <c r="C19" s="1" t="s">
        <v>8</v>
      </c>
      <c r="D19" s="1" t="s">
        <v>8</v>
      </c>
      <c r="E19" s="1">
        <v>1</v>
      </c>
      <c r="F19" s="1">
        <v>0.47423140000137198</v>
      </c>
      <c r="G19" s="1">
        <f t="shared" si="0"/>
        <v>474.23140000137198</v>
      </c>
    </row>
    <row r="20" spans="1:7" x14ac:dyDescent="0.35">
      <c r="A20" s="1" t="s">
        <v>25</v>
      </c>
      <c r="B20" s="1" t="s">
        <v>10</v>
      </c>
      <c r="C20" s="1" t="s">
        <v>11</v>
      </c>
      <c r="D20" s="1" t="s">
        <v>8</v>
      </c>
      <c r="E20" s="1">
        <v>0</v>
      </c>
      <c r="F20" s="1">
        <v>0.64929310000115903</v>
      </c>
      <c r="G20" s="1">
        <f t="shared" si="0"/>
        <v>649.29310000115902</v>
      </c>
    </row>
    <row r="21" spans="1:7" x14ac:dyDescent="0.35">
      <c r="A21" s="1" t="s">
        <v>16</v>
      </c>
      <c r="B21" s="1" t="s">
        <v>10</v>
      </c>
      <c r="C21" s="1" t="s">
        <v>11</v>
      </c>
      <c r="D21" s="1" t="s">
        <v>11</v>
      </c>
      <c r="E21" s="1">
        <v>1</v>
      </c>
      <c r="F21" s="1">
        <v>1.30894939999961</v>
      </c>
      <c r="G21" s="1">
        <f t="shared" si="0"/>
        <v>1308.94939999961</v>
      </c>
    </row>
    <row r="22" spans="1:7" x14ac:dyDescent="0.35">
      <c r="A22" s="1" t="s">
        <v>16</v>
      </c>
      <c r="B22" s="1" t="s">
        <v>10</v>
      </c>
      <c r="C22" s="1" t="s">
        <v>11</v>
      </c>
      <c r="D22" s="1" t="s">
        <v>11</v>
      </c>
      <c r="E22" s="1">
        <v>1</v>
      </c>
      <c r="F22" s="1">
        <v>1.6228006000001101</v>
      </c>
      <c r="G22" s="1">
        <f t="shared" si="0"/>
        <v>1622.8006000001101</v>
      </c>
    </row>
    <row r="23" spans="1:7" x14ac:dyDescent="0.35">
      <c r="A23" s="1" t="s">
        <v>21</v>
      </c>
      <c r="B23" s="1" t="s">
        <v>10</v>
      </c>
      <c r="C23" s="1" t="s">
        <v>11</v>
      </c>
      <c r="D23" s="1" t="s">
        <v>11</v>
      </c>
      <c r="E23" s="1">
        <v>1</v>
      </c>
      <c r="F23" s="1">
        <v>1.3466877999999201</v>
      </c>
      <c r="G23" s="1">
        <f t="shared" si="0"/>
        <v>1346.6877999999201</v>
      </c>
    </row>
    <row r="24" spans="1:7" x14ac:dyDescent="0.35">
      <c r="A24" s="1" t="s">
        <v>26</v>
      </c>
      <c r="B24" s="1" t="s">
        <v>10</v>
      </c>
      <c r="C24" s="1" t="s">
        <v>11</v>
      </c>
      <c r="D24" s="1" t="s">
        <v>11</v>
      </c>
      <c r="E24" s="1">
        <v>1</v>
      </c>
      <c r="F24" s="1">
        <v>1.1759049000011099</v>
      </c>
      <c r="G24" s="1">
        <f t="shared" si="0"/>
        <v>1175.9049000011098</v>
      </c>
    </row>
    <row r="25" spans="1:7" x14ac:dyDescent="0.35">
      <c r="A25" s="1" t="s">
        <v>25</v>
      </c>
      <c r="B25" s="1" t="s">
        <v>10</v>
      </c>
      <c r="C25" s="1" t="s">
        <v>11</v>
      </c>
      <c r="D25" s="1" t="s">
        <v>8</v>
      </c>
      <c r="E25" s="1">
        <v>0</v>
      </c>
      <c r="F25" s="1">
        <v>1.80908310000086</v>
      </c>
      <c r="G25" s="1">
        <f t="shared" si="0"/>
        <v>1809.08310000086</v>
      </c>
    </row>
    <row r="26" spans="1:7" x14ac:dyDescent="0.35">
      <c r="A26" s="1" t="s">
        <v>19</v>
      </c>
      <c r="B26" s="1" t="s">
        <v>7</v>
      </c>
      <c r="C26" s="1" t="s">
        <v>8</v>
      </c>
      <c r="D26" s="1" t="s">
        <v>8</v>
      </c>
      <c r="E26" s="1">
        <v>1</v>
      </c>
      <c r="F26" s="1">
        <v>0.64271249999910596</v>
      </c>
      <c r="G26" s="1">
        <f t="shared" si="0"/>
        <v>642.71249999910594</v>
      </c>
    </row>
    <row r="27" spans="1:7" x14ac:dyDescent="0.35">
      <c r="A27" s="1" t="s">
        <v>9</v>
      </c>
      <c r="B27" s="1" t="s">
        <v>10</v>
      </c>
      <c r="C27" s="1" t="s">
        <v>11</v>
      </c>
      <c r="D27" s="1" t="s">
        <v>8</v>
      </c>
      <c r="E27" s="1">
        <v>0</v>
      </c>
      <c r="F27" s="1">
        <v>3.0918775999998598</v>
      </c>
      <c r="G27" s="1">
        <f t="shared" si="0"/>
        <v>3091.8775999998597</v>
      </c>
    </row>
    <row r="28" spans="1:7" x14ac:dyDescent="0.35">
      <c r="A28" s="1" t="s">
        <v>20</v>
      </c>
      <c r="B28" s="1" t="s">
        <v>10</v>
      </c>
      <c r="C28" s="1" t="s">
        <v>11</v>
      </c>
      <c r="D28" s="1" t="s">
        <v>11</v>
      </c>
      <c r="E28" s="1">
        <v>1</v>
      </c>
      <c r="F28" s="1">
        <v>1.75876380000045</v>
      </c>
      <c r="G28" s="1">
        <f t="shared" si="0"/>
        <v>1758.7638000004499</v>
      </c>
    </row>
    <row r="29" spans="1:7" x14ac:dyDescent="0.35">
      <c r="A29" s="1" t="s">
        <v>12</v>
      </c>
      <c r="B29" s="1" t="s">
        <v>7</v>
      </c>
      <c r="C29" s="1" t="s">
        <v>8</v>
      </c>
      <c r="D29" s="1" t="s">
        <v>8</v>
      </c>
      <c r="E29" s="1">
        <v>1</v>
      </c>
      <c r="F29" s="1">
        <v>0.76753490000010005</v>
      </c>
      <c r="G29" s="1">
        <f t="shared" si="0"/>
        <v>767.53490000010004</v>
      </c>
    </row>
    <row r="30" spans="1:7" x14ac:dyDescent="0.35">
      <c r="A30" s="1" t="s">
        <v>23</v>
      </c>
      <c r="B30" s="1" t="s">
        <v>10</v>
      </c>
      <c r="C30" s="1" t="s">
        <v>11</v>
      </c>
      <c r="D30" s="1" t="s">
        <v>8</v>
      </c>
      <c r="E30" s="1">
        <v>0</v>
      </c>
      <c r="F30" s="1">
        <v>1.9865397000012299</v>
      </c>
      <c r="G30" s="1">
        <f t="shared" si="0"/>
        <v>1986.5397000012299</v>
      </c>
    </row>
    <row r="31" spans="1:7" x14ac:dyDescent="0.35">
      <c r="A31" s="1" t="s">
        <v>18</v>
      </c>
      <c r="B31" s="1" t="s">
        <v>7</v>
      </c>
      <c r="C31" s="1" t="s">
        <v>8</v>
      </c>
      <c r="D31" s="1" t="s">
        <v>8</v>
      </c>
      <c r="E31" s="1">
        <v>1</v>
      </c>
      <c r="F31" s="1">
        <v>0.601654199999757</v>
      </c>
      <c r="G31" s="1">
        <f t="shared" si="0"/>
        <v>601.654199999757</v>
      </c>
    </row>
    <row r="32" spans="1:7" x14ac:dyDescent="0.35">
      <c r="A32" s="1" t="s">
        <v>29</v>
      </c>
      <c r="B32" s="1" t="s">
        <v>7</v>
      </c>
      <c r="C32" s="1" t="s">
        <v>8</v>
      </c>
      <c r="D32" s="1" t="s">
        <v>8</v>
      </c>
      <c r="E32" s="1">
        <v>1</v>
      </c>
      <c r="F32" s="1">
        <v>0.55569169999944201</v>
      </c>
      <c r="G32" s="1">
        <f t="shared" si="0"/>
        <v>555.69169999944199</v>
      </c>
    </row>
    <row r="33" spans="1:7" x14ac:dyDescent="0.35">
      <c r="A33" s="1" t="s">
        <v>24</v>
      </c>
      <c r="B33" s="1" t="s">
        <v>7</v>
      </c>
      <c r="C33" s="1" t="s">
        <v>8</v>
      </c>
      <c r="D33" s="1" t="s">
        <v>8</v>
      </c>
      <c r="E33" s="1">
        <v>1</v>
      </c>
      <c r="F33" s="1">
        <v>0.49675869999918998</v>
      </c>
      <c r="G33" s="1">
        <f t="shared" si="0"/>
        <v>496.75869999918996</v>
      </c>
    </row>
    <row r="34" spans="1:7" x14ac:dyDescent="0.35">
      <c r="A34" s="1" t="s">
        <v>15</v>
      </c>
      <c r="B34" s="1" t="s">
        <v>7</v>
      </c>
      <c r="C34" s="1" t="s">
        <v>8</v>
      </c>
      <c r="D34" s="1" t="s">
        <v>8</v>
      </c>
      <c r="E34" s="1">
        <v>1</v>
      </c>
      <c r="F34" s="1">
        <v>0.44496439999966197</v>
      </c>
      <c r="G34" s="1">
        <f t="shared" si="0"/>
        <v>444.96439999966196</v>
      </c>
    </row>
    <row r="35" spans="1:7" x14ac:dyDescent="0.35">
      <c r="A35" s="1" t="s">
        <v>14</v>
      </c>
      <c r="B35" s="1" t="s">
        <v>10</v>
      </c>
      <c r="C35" s="1" t="s">
        <v>11</v>
      </c>
      <c r="D35" s="1" t="s">
        <v>8</v>
      </c>
      <c r="E35" s="1">
        <v>0</v>
      </c>
      <c r="F35" s="1">
        <v>0.47220039999956498</v>
      </c>
      <c r="G35" s="1">
        <f t="shared" si="0"/>
        <v>472.20039999956498</v>
      </c>
    </row>
    <row r="36" spans="1:7" x14ac:dyDescent="0.35">
      <c r="A36" s="1" t="s">
        <v>6</v>
      </c>
      <c r="B36" s="1" t="s">
        <v>7</v>
      </c>
      <c r="C36" s="1" t="s">
        <v>8</v>
      </c>
      <c r="D36" s="1" t="s">
        <v>8</v>
      </c>
      <c r="E36" s="1">
        <v>1</v>
      </c>
      <c r="F36" s="1">
        <v>0.60458759999892198</v>
      </c>
      <c r="G36" s="1">
        <f t="shared" si="0"/>
        <v>604.58759999892197</v>
      </c>
    </row>
    <row r="37" spans="1:7" x14ac:dyDescent="0.35">
      <c r="A37" s="1" t="s">
        <v>13</v>
      </c>
      <c r="B37" s="1" t="s">
        <v>7</v>
      </c>
      <c r="C37" s="1" t="s">
        <v>8</v>
      </c>
      <c r="D37" s="1" t="s">
        <v>8</v>
      </c>
      <c r="E37" s="1">
        <v>1</v>
      </c>
      <c r="F37" s="1">
        <v>0.60036880000006898</v>
      </c>
      <c r="G37" s="1">
        <f t="shared" si="0"/>
        <v>600.36880000006897</v>
      </c>
    </row>
    <row r="38" spans="1:7" x14ac:dyDescent="0.35">
      <c r="A38" s="1" t="s">
        <v>28</v>
      </c>
      <c r="B38" s="1" t="s">
        <v>10</v>
      </c>
      <c r="C38" s="1" t="s">
        <v>11</v>
      </c>
      <c r="D38" s="1" t="s">
        <v>11</v>
      </c>
      <c r="E38" s="1">
        <v>1</v>
      </c>
      <c r="F38" s="1">
        <v>0.78515420000076097</v>
      </c>
      <c r="G38" s="1">
        <f t="shared" si="0"/>
        <v>785.15420000076097</v>
      </c>
    </row>
    <row r="39" spans="1:7" x14ac:dyDescent="0.35">
      <c r="A39" s="1" t="s">
        <v>17</v>
      </c>
      <c r="B39" s="1" t="s">
        <v>10</v>
      </c>
      <c r="C39" s="1" t="s">
        <v>11</v>
      </c>
      <c r="D39" s="1" t="s">
        <v>11</v>
      </c>
      <c r="E39" s="1">
        <v>1</v>
      </c>
      <c r="F39" s="1">
        <v>0.644141200000376</v>
      </c>
      <c r="G39" s="1">
        <f t="shared" si="0"/>
        <v>644.14120000037599</v>
      </c>
    </row>
    <row r="40" spans="1:7" x14ac:dyDescent="0.35">
      <c r="A40" s="1" t="s">
        <v>27</v>
      </c>
      <c r="B40" s="1" t="s">
        <v>7</v>
      </c>
      <c r="C40" s="1" t="s">
        <v>8</v>
      </c>
      <c r="D40" s="1" t="s">
        <v>8</v>
      </c>
      <c r="E40" s="1">
        <v>1</v>
      </c>
      <c r="F40" s="1">
        <v>0.66383529999984603</v>
      </c>
      <c r="G40" s="1">
        <f t="shared" si="0"/>
        <v>663.83529999984603</v>
      </c>
    </row>
    <row r="41" spans="1:7" x14ac:dyDescent="0.35">
      <c r="A41" s="1" t="s">
        <v>22</v>
      </c>
      <c r="B41" s="1" t="s">
        <v>7</v>
      </c>
      <c r="C41" s="1" t="s">
        <v>8</v>
      </c>
      <c r="D41" s="1" t="s">
        <v>8</v>
      </c>
      <c r="E41" s="1">
        <v>1</v>
      </c>
      <c r="F41" s="1">
        <v>0.58574740000040004</v>
      </c>
      <c r="G41" s="1">
        <f t="shared" si="0"/>
        <v>585.74740000040003</v>
      </c>
    </row>
    <row r="42" spans="1:7" x14ac:dyDescent="0.35">
      <c r="A42" s="1" t="s">
        <v>27</v>
      </c>
      <c r="B42" s="1" t="s">
        <v>7</v>
      </c>
      <c r="C42" s="1" t="s">
        <v>8</v>
      </c>
      <c r="D42" s="1" t="s">
        <v>8</v>
      </c>
      <c r="E42" s="1">
        <v>1</v>
      </c>
      <c r="F42" s="1">
        <v>0.50251510000089095</v>
      </c>
      <c r="G42" s="1">
        <f t="shared" si="0"/>
        <v>502.51510000089093</v>
      </c>
    </row>
    <row r="43" spans="1:7" x14ac:dyDescent="0.35">
      <c r="A43" s="1" t="s">
        <v>25</v>
      </c>
      <c r="B43" s="1" t="s">
        <v>10</v>
      </c>
      <c r="C43" s="1" t="s">
        <v>11</v>
      </c>
      <c r="D43" s="1" t="s">
        <v>11</v>
      </c>
      <c r="E43" s="1">
        <v>1</v>
      </c>
      <c r="F43" s="1">
        <v>1.53925660000095</v>
      </c>
      <c r="G43" s="1">
        <f t="shared" si="0"/>
        <v>1539.2566000009499</v>
      </c>
    </row>
    <row r="44" spans="1:7" x14ac:dyDescent="0.35">
      <c r="A44" s="1" t="s">
        <v>26</v>
      </c>
      <c r="B44" s="1" t="s">
        <v>10</v>
      </c>
      <c r="C44" s="1" t="s">
        <v>11</v>
      </c>
      <c r="D44" s="1" t="s">
        <v>8</v>
      </c>
      <c r="E44" s="1">
        <v>0</v>
      </c>
      <c r="F44" s="1">
        <v>0.83762000000024195</v>
      </c>
      <c r="G44" s="1">
        <f t="shared" si="0"/>
        <v>837.62000000024193</v>
      </c>
    </row>
    <row r="45" spans="1:7" x14ac:dyDescent="0.35">
      <c r="A45" s="1" t="s">
        <v>18</v>
      </c>
      <c r="B45" s="1" t="s">
        <v>7</v>
      </c>
      <c r="C45" s="1" t="s">
        <v>8</v>
      </c>
      <c r="D45" s="1" t="s">
        <v>8</v>
      </c>
      <c r="E45" s="1">
        <v>1</v>
      </c>
      <c r="F45" s="1">
        <v>1.0323124999995299</v>
      </c>
      <c r="G45" s="1">
        <f t="shared" si="0"/>
        <v>1032.3124999995298</v>
      </c>
    </row>
    <row r="46" spans="1:7" x14ac:dyDescent="0.35">
      <c r="A46" s="1" t="s">
        <v>19</v>
      </c>
      <c r="B46" s="1" t="s">
        <v>7</v>
      </c>
      <c r="C46" s="1" t="s">
        <v>8</v>
      </c>
      <c r="D46" s="1" t="s">
        <v>8</v>
      </c>
      <c r="E46" s="1">
        <v>1</v>
      </c>
      <c r="F46" s="1">
        <v>0.801091499999529</v>
      </c>
      <c r="G46" s="1">
        <f t="shared" si="0"/>
        <v>801.09149999952899</v>
      </c>
    </row>
    <row r="47" spans="1:7" x14ac:dyDescent="0.35">
      <c r="A47" s="1" t="s">
        <v>28</v>
      </c>
      <c r="B47" s="1" t="s">
        <v>10</v>
      </c>
      <c r="C47" s="1" t="s">
        <v>11</v>
      </c>
      <c r="D47" s="1" t="s">
        <v>11</v>
      </c>
      <c r="E47" s="1">
        <v>1</v>
      </c>
      <c r="F47" s="1">
        <v>3.90819159999955</v>
      </c>
      <c r="G47" s="1">
        <f t="shared" si="0"/>
        <v>3908.1915999995499</v>
      </c>
    </row>
    <row r="48" spans="1:7" x14ac:dyDescent="0.35">
      <c r="A48" s="1" t="s">
        <v>12</v>
      </c>
      <c r="B48" s="1" t="s">
        <v>7</v>
      </c>
      <c r="C48" s="1" t="s">
        <v>8</v>
      </c>
      <c r="D48" s="1" t="s">
        <v>8</v>
      </c>
      <c r="E48" s="1">
        <v>1</v>
      </c>
      <c r="F48" s="1">
        <v>1.4653825999994201</v>
      </c>
      <c r="G48" s="1">
        <f t="shared" si="0"/>
        <v>1465.3825999994201</v>
      </c>
    </row>
    <row r="49" spans="1:7" x14ac:dyDescent="0.35">
      <c r="A49" s="1" t="s">
        <v>16</v>
      </c>
      <c r="B49" s="1" t="s">
        <v>10</v>
      </c>
      <c r="C49" s="1" t="s">
        <v>11</v>
      </c>
      <c r="D49" s="1" t="s">
        <v>11</v>
      </c>
      <c r="E49" s="1">
        <v>1</v>
      </c>
      <c r="F49" s="1">
        <v>2.1947486000008198</v>
      </c>
      <c r="G49" s="1">
        <f t="shared" si="0"/>
        <v>2194.7486000008198</v>
      </c>
    </row>
    <row r="50" spans="1:7" x14ac:dyDescent="0.35">
      <c r="A50" s="1" t="s">
        <v>6</v>
      </c>
      <c r="B50" s="1" t="s">
        <v>7</v>
      </c>
      <c r="C50" s="1" t="s">
        <v>8</v>
      </c>
      <c r="D50" s="1" t="s">
        <v>8</v>
      </c>
      <c r="E50" s="1">
        <v>1</v>
      </c>
      <c r="F50" s="1">
        <v>0.52101430000038795</v>
      </c>
      <c r="G50" s="1">
        <f t="shared" si="0"/>
        <v>521.01430000038795</v>
      </c>
    </row>
    <row r="51" spans="1:7" x14ac:dyDescent="0.35">
      <c r="A51" s="1" t="s">
        <v>29</v>
      </c>
      <c r="B51" s="1" t="s">
        <v>7</v>
      </c>
      <c r="C51" s="1" t="s">
        <v>8</v>
      </c>
      <c r="D51" s="1" t="s">
        <v>8</v>
      </c>
      <c r="E51" s="1">
        <v>1</v>
      </c>
      <c r="F51" s="1">
        <v>0.77481230000012102</v>
      </c>
      <c r="G51" s="1">
        <f t="shared" si="0"/>
        <v>774.81230000012101</v>
      </c>
    </row>
    <row r="52" spans="1:7" x14ac:dyDescent="0.35">
      <c r="A52" s="1" t="s">
        <v>20</v>
      </c>
      <c r="B52" s="1" t="s">
        <v>10</v>
      </c>
      <c r="C52" s="1" t="s">
        <v>11</v>
      </c>
      <c r="D52" s="1" t="s">
        <v>11</v>
      </c>
      <c r="E52" s="1">
        <v>1</v>
      </c>
      <c r="F52" s="1">
        <v>1.2166607999988599</v>
      </c>
      <c r="G52" s="1">
        <f t="shared" si="0"/>
        <v>1216.6607999988598</v>
      </c>
    </row>
    <row r="53" spans="1:7" x14ac:dyDescent="0.35">
      <c r="A53" s="1" t="s">
        <v>17</v>
      </c>
      <c r="B53" s="1" t="s">
        <v>10</v>
      </c>
      <c r="C53" s="1" t="s">
        <v>11</v>
      </c>
      <c r="D53" s="1" t="s">
        <v>11</v>
      </c>
      <c r="E53" s="1">
        <v>1</v>
      </c>
      <c r="F53" s="1">
        <v>1.5445517999996801</v>
      </c>
      <c r="G53" s="1">
        <f t="shared" si="0"/>
        <v>1544.55179999968</v>
      </c>
    </row>
    <row r="54" spans="1:7" x14ac:dyDescent="0.35">
      <c r="A54" s="1" t="s">
        <v>14</v>
      </c>
      <c r="B54" s="1" t="s">
        <v>10</v>
      </c>
      <c r="C54" s="1" t="s">
        <v>11</v>
      </c>
      <c r="D54" s="1" t="s">
        <v>11</v>
      </c>
      <c r="E54" s="1">
        <v>1</v>
      </c>
      <c r="F54" s="1">
        <v>2.5075495000000898</v>
      </c>
      <c r="G54" s="1">
        <f t="shared" si="0"/>
        <v>2507.5495000000897</v>
      </c>
    </row>
    <row r="55" spans="1:7" x14ac:dyDescent="0.35">
      <c r="A55" s="1" t="s">
        <v>23</v>
      </c>
      <c r="B55" s="1" t="s">
        <v>10</v>
      </c>
      <c r="C55" s="1" t="s">
        <v>11</v>
      </c>
      <c r="D55" s="1" t="s">
        <v>8</v>
      </c>
      <c r="E55" s="1">
        <v>0</v>
      </c>
      <c r="F55" s="1">
        <v>1.76965200000086</v>
      </c>
      <c r="G55" s="1">
        <f t="shared" si="0"/>
        <v>1769.65200000086</v>
      </c>
    </row>
    <row r="56" spans="1:7" x14ac:dyDescent="0.35">
      <c r="A56" s="1" t="s">
        <v>13</v>
      </c>
      <c r="B56" s="1" t="s">
        <v>7</v>
      </c>
      <c r="C56" s="1" t="s">
        <v>8</v>
      </c>
      <c r="D56" s="1" t="s">
        <v>8</v>
      </c>
      <c r="E56" s="1">
        <v>1</v>
      </c>
      <c r="F56" s="1">
        <v>1.8161774000000099</v>
      </c>
      <c r="G56" s="1">
        <f t="shared" si="0"/>
        <v>1816.17740000001</v>
      </c>
    </row>
    <row r="57" spans="1:7" x14ac:dyDescent="0.35">
      <c r="A57" s="1" t="s">
        <v>21</v>
      </c>
      <c r="B57" s="1" t="s">
        <v>10</v>
      </c>
      <c r="C57" s="1" t="s">
        <v>11</v>
      </c>
      <c r="D57" s="1" t="s">
        <v>11</v>
      </c>
      <c r="E57" s="1">
        <v>1</v>
      </c>
      <c r="F57" s="1">
        <v>1.11527600000044</v>
      </c>
      <c r="G57" s="1">
        <f t="shared" si="0"/>
        <v>1115.27600000044</v>
      </c>
    </row>
    <row r="58" spans="1:7" x14ac:dyDescent="0.35">
      <c r="A58" s="1" t="s">
        <v>9</v>
      </c>
      <c r="B58" s="1" t="s">
        <v>10</v>
      </c>
      <c r="C58" s="1" t="s">
        <v>11</v>
      </c>
      <c r="D58" s="1" t="s">
        <v>11</v>
      </c>
      <c r="E58" s="1">
        <v>1</v>
      </c>
      <c r="F58" s="1">
        <v>1.44589740000083</v>
      </c>
      <c r="G58" s="1">
        <f t="shared" si="0"/>
        <v>1445.89740000083</v>
      </c>
    </row>
    <row r="59" spans="1:7" x14ac:dyDescent="0.35">
      <c r="A59" s="1" t="s">
        <v>15</v>
      </c>
      <c r="B59" s="1" t="s">
        <v>7</v>
      </c>
      <c r="C59" s="1" t="s">
        <v>8</v>
      </c>
      <c r="D59" s="1" t="s">
        <v>8</v>
      </c>
      <c r="E59" s="1">
        <v>1</v>
      </c>
      <c r="F59" s="1">
        <v>0.49914580000040498</v>
      </c>
      <c r="G59" s="1">
        <f t="shared" si="0"/>
        <v>499.14580000040496</v>
      </c>
    </row>
    <row r="60" spans="1:7" x14ac:dyDescent="0.35">
      <c r="A60" s="1" t="s">
        <v>22</v>
      </c>
      <c r="B60" s="1" t="s">
        <v>7</v>
      </c>
      <c r="C60" s="1" t="s">
        <v>8</v>
      </c>
      <c r="D60" s="1" t="s">
        <v>8</v>
      </c>
      <c r="E60" s="1">
        <v>1</v>
      </c>
      <c r="F60" s="1">
        <v>0.86344950000056997</v>
      </c>
      <c r="G60" s="1">
        <f t="shared" si="0"/>
        <v>863.44950000056997</v>
      </c>
    </row>
    <row r="61" spans="1:7" x14ac:dyDescent="0.35">
      <c r="A61" s="1" t="s">
        <v>24</v>
      </c>
      <c r="B61" s="1" t="s">
        <v>7</v>
      </c>
      <c r="C61" s="1" t="s">
        <v>8</v>
      </c>
      <c r="D61" s="1" t="s">
        <v>8</v>
      </c>
      <c r="E61" s="1">
        <v>1</v>
      </c>
      <c r="F61" s="1">
        <v>2.3188049000000301</v>
      </c>
      <c r="G61" s="1">
        <f t="shared" si="0"/>
        <v>2318.8049000000301</v>
      </c>
    </row>
    <row r="62" spans="1:7" x14ac:dyDescent="0.35">
      <c r="A62" s="1" t="s">
        <v>12</v>
      </c>
      <c r="B62" s="1" t="s">
        <v>7</v>
      </c>
      <c r="C62" s="1" t="s">
        <v>8</v>
      </c>
      <c r="D62" s="1" t="s">
        <v>8</v>
      </c>
      <c r="E62" s="1">
        <v>1</v>
      </c>
      <c r="F62" s="1">
        <v>1.16565929999887</v>
      </c>
      <c r="G62" s="1">
        <f t="shared" si="0"/>
        <v>1165.65929999887</v>
      </c>
    </row>
    <row r="63" spans="1:7" x14ac:dyDescent="0.35">
      <c r="A63" s="1" t="s">
        <v>15</v>
      </c>
      <c r="B63" s="1" t="s">
        <v>7</v>
      </c>
      <c r="C63" s="1" t="s">
        <v>8</v>
      </c>
      <c r="D63" s="1" t="s">
        <v>8</v>
      </c>
      <c r="E63" s="1">
        <v>1</v>
      </c>
      <c r="F63" s="1">
        <v>1.10864570000012</v>
      </c>
      <c r="G63" s="1">
        <f t="shared" si="0"/>
        <v>1108.6457000001199</v>
      </c>
    </row>
    <row r="64" spans="1:7" x14ac:dyDescent="0.35">
      <c r="A64" s="1" t="s">
        <v>28</v>
      </c>
      <c r="B64" s="1" t="s">
        <v>10</v>
      </c>
      <c r="C64" s="1" t="s">
        <v>11</v>
      </c>
      <c r="D64" s="1" t="s">
        <v>11</v>
      </c>
      <c r="E64" s="1">
        <v>1</v>
      </c>
      <c r="F64" s="1">
        <v>1.05910260000018</v>
      </c>
      <c r="G64" s="1">
        <f t="shared" si="0"/>
        <v>1059.10260000018</v>
      </c>
    </row>
    <row r="65" spans="1:7" x14ac:dyDescent="0.35">
      <c r="A65" s="1" t="s">
        <v>25</v>
      </c>
      <c r="B65" s="1" t="s">
        <v>10</v>
      </c>
      <c r="C65" s="1" t="s">
        <v>11</v>
      </c>
      <c r="D65" s="1" t="s">
        <v>8</v>
      </c>
      <c r="E65" s="1">
        <v>0</v>
      </c>
      <c r="F65" s="1">
        <v>4.4916130000001404</v>
      </c>
      <c r="G65" s="1">
        <f t="shared" si="0"/>
        <v>4491.6130000001403</v>
      </c>
    </row>
    <row r="66" spans="1:7" x14ac:dyDescent="0.35">
      <c r="A66" s="1" t="s">
        <v>14</v>
      </c>
      <c r="B66" s="1" t="s">
        <v>10</v>
      </c>
      <c r="C66" s="1" t="s">
        <v>11</v>
      </c>
      <c r="D66" s="1" t="s">
        <v>11</v>
      </c>
      <c r="E66" s="1">
        <v>1</v>
      </c>
      <c r="F66" s="1">
        <v>1.1495879999984</v>
      </c>
      <c r="G66" s="1">
        <f t="shared" si="0"/>
        <v>1149.5879999983999</v>
      </c>
    </row>
    <row r="67" spans="1:7" x14ac:dyDescent="0.35">
      <c r="A67" s="1" t="s">
        <v>21</v>
      </c>
      <c r="B67" s="1" t="s">
        <v>10</v>
      </c>
      <c r="C67" s="1" t="s">
        <v>11</v>
      </c>
      <c r="D67" s="1" t="s">
        <v>11</v>
      </c>
      <c r="E67" s="1">
        <v>1</v>
      </c>
      <c r="F67" s="1">
        <v>2.43127169999934</v>
      </c>
      <c r="G67" s="1">
        <f t="shared" ref="G67:G130" si="1">F67*1000</f>
        <v>2431.2716999993399</v>
      </c>
    </row>
    <row r="68" spans="1:7" x14ac:dyDescent="0.35">
      <c r="A68" s="1" t="s">
        <v>22</v>
      </c>
      <c r="B68" s="1" t="s">
        <v>7</v>
      </c>
      <c r="C68" s="1" t="s">
        <v>8</v>
      </c>
      <c r="D68" s="1" t="s">
        <v>8</v>
      </c>
      <c r="E68" s="1">
        <v>1</v>
      </c>
      <c r="F68" s="1">
        <v>0.98764330000085399</v>
      </c>
      <c r="G68" s="1">
        <f t="shared" si="1"/>
        <v>987.64330000085397</v>
      </c>
    </row>
    <row r="69" spans="1:7" x14ac:dyDescent="0.35">
      <c r="A69" s="1" t="s">
        <v>20</v>
      </c>
      <c r="B69" s="1" t="s">
        <v>10</v>
      </c>
      <c r="C69" s="1" t="s">
        <v>11</v>
      </c>
      <c r="D69" s="1" t="s">
        <v>11</v>
      </c>
      <c r="E69" s="1">
        <v>1</v>
      </c>
      <c r="F69" s="1">
        <v>1.48723849999987</v>
      </c>
      <c r="G69" s="1">
        <f t="shared" si="1"/>
        <v>1487.2384999998701</v>
      </c>
    </row>
    <row r="70" spans="1:7" x14ac:dyDescent="0.35">
      <c r="A70" s="1" t="s">
        <v>17</v>
      </c>
      <c r="B70" s="1" t="s">
        <v>10</v>
      </c>
      <c r="C70" s="1" t="s">
        <v>11</v>
      </c>
      <c r="D70" s="1" t="s">
        <v>11</v>
      </c>
      <c r="E70" s="1">
        <v>1</v>
      </c>
      <c r="F70" s="1">
        <v>1.73774380000031</v>
      </c>
      <c r="G70" s="1">
        <f t="shared" si="1"/>
        <v>1737.7438000003101</v>
      </c>
    </row>
    <row r="71" spans="1:7" x14ac:dyDescent="0.35">
      <c r="A71" s="1" t="s">
        <v>19</v>
      </c>
      <c r="B71" s="1" t="s">
        <v>7</v>
      </c>
      <c r="C71" s="1" t="s">
        <v>8</v>
      </c>
      <c r="D71" s="1" t="s">
        <v>8</v>
      </c>
      <c r="E71" s="1">
        <v>1</v>
      </c>
      <c r="F71" s="1">
        <v>1.3824591999982601</v>
      </c>
      <c r="G71" s="1">
        <f t="shared" si="1"/>
        <v>1382.4591999982601</v>
      </c>
    </row>
    <row r="72" spans="1:7" x14ac:dyDescent="0.35">
      <c r="A72" s="1" t="s">
        <v>6</v>
      </c>
      <c r="B72" s="1" t="s">
        <v>7</v>
      </c>
      <c r="C72" s="1" t="s">
        <v>8</v>
      </c>
      <c r="D72" s="1" t="s">
        <v>8</v>
      </c>
      <c r="E72" s="1">
        <v>1</v>
      </c>
      <c r="F72" s="1">
        <v>1.01398379999955</v>
      </c>
      <c r="G72" s="1">
        <f t="shared" si="1"/>
        <v>1013.98379999955</v>
      </c>
    </row>
    <row r="73" spans="1:7" x14ac:dyDescent="0.35">
      <c r="A73" s="1" t="s">
        <v>26</v>
      </c>
      <c r="B73" s="1" t="s">
        <v>10</v>
      </c>
      <c r="C73" s="1" t="s">
        <v>11</v>
      </c>
      <c r="D73" s="1" t="s">
        <v>11</v>
      </c>
      <c r="E73" s="1">
        <v>1</v>
      </c>
      <c r="F73" s="1">
        <v>1.00077940000119</v>
      </c>
      <c r="G73" s="1">
        <f t="shared" si="1"/>
        <v>1000.7794000011901</v>
      </c>
    </row>
    <row r="74" spans="1:7" x14ac:dyDescent="0.35">
      <c r="A74" s="1" t="s">
        <v>13</v>
      </c>
      <c r="B74" s="1" t="s">
        <v>7</v>
      </c>
      <c r="C74" s="1" t="s">
        <v>8</v>
      </c>
      <c r="D74" s="1" t="s">
        <v>8</v>
      </c>
      <c r="E74" s="1">
        <v>1</v>
      </c>
      <c r="F74" s="1">
        <v>0.79089110000131702</v>
      </c>
      <c r="G74" s="1">
        <f t="shared" si="1"/>
        <v>790.891100001317</v>
      </c>
    </row>
    <row r="75" spans="1:7" x14ac:dyDescent="0.35">
      <c r="A75" s="1" t="s">
        <v>29</v>
      </c>
      <c r="B75" s="1" t="s">
        <v>7</v>
      </c>
      <c r="C75" s="1" t="s">
        <v>8</v>
      </c>
      <c r="D75" s="1" t="s">
        <v>8</v>
      </c>
      <c r="E75" s="1">
        <v>1</v>
      </c>
      <c r="F75" s="1">
        <v>1.8656943999994799</v>
      </c>
      <c r="G75" s="1">
        <f t="shared" si="1"/>
        <v>1865.6943999994799</v>
      </c>
    </row>
    <row r="76" spans="1:7" x14ac:dyDescent="0.35">
      <c r="A76" s="1" t="s">
        <v>16</v>
      </c>
      <c r="B76" s="1" t="s">
        <v>10</v>
      </c>
      <c r="C76" s="1" t="s">
        <v>11</v>
      </c>
      <c r="D76" s="1" t="s">
        <v>8</v>
      </c>
      <c r="E76" s="1">
        <v>0</v>
      </c>
      <c r="F76" s="1">
        <v>0.67113269999936098</v>
      </c>
      <c r="G76" s="1">
        <f t="shared" si="1"/>
        <v>671.13269999936097</v>
      </c>
    </row>
    <row r="77" spans="1:7" x14ac:dyDescent="0.35">
      <c r="A77" s="1" t="s">
        <v>27</v>
      </c>
      <c r="B77" s="1" t="s">
        <v>7</v>
      </c>
      <c r="C77" s="1" t="s">
        <v>8</v>
      </c>
      <c r="D77" s="1" t="s">
        <v>8</v>
      </c>
      <c r="E77" s="1">
        <v>1</v>
      </c>
      <c r="F77" s="1">
        <v>0.49363339999945299</v>
      </c>
      <c r="G77" s="1">
        <f t="shared" si="1"/>
        <v>493.63339999945299</v>
      </c>
    </row>
    <row r="78" spans="1:7" x14ac:dyDescent="0.35">
      <c r="A78" s="1" t="s">
        <v>23</v>
      </c>
      <c r="B78" s="1" t="s">
        <v>10</v>
      </c>
      <c r="C78" s="1" t="s">
        <v>11</v>
      </c>
      <c r="D78" s="1" t="s">
        <v>8</v>
      </c>
      <c r="E78" s="1">
        <v>0</v>
      </c>
      <c r="F78" s="1">
        <v>0.68763670000043897</v>
      </c>
      <c r="G78" s="1">
        <f t="shared" si="1"/>
        <v>687.63670000043896</v>
      </c>
    </row>
    <row r="79" spans="1:7" x14ac:dyDescent="0.35">
      <c r="A79" s="1" t="s">
        <v>18</v>
      </c>
      <c r="B79" s="1" t="s">
        <v>7</v>
      </c>
      <c r="C79" s="1" t="s">
        <v>8</v>
      </c>
      <c r="D79" s="1" t="s">
        <v>8</v>
      </c>
      <c r="E79" s="1">
        <v>1</v>
      </c>
      <c r="F79" s="1">
        <v>0.50449609999850498</v>
      </c>
      <c r="G79" s="1">
        <f t="shared" si="1"/>
        <v>504.49609999850497</v>
      </c>
    </row>
    <row r="80" spans="1:7" x14ac:dyDescent="0.35">
      <c r="A80" s="1" t="s">
        <v>9</v>
      </c>
      <c r="B80" s="1" t="s">
        <v>10</v>
      </c>
      <c r="C80" s="1" t="s">
        <v>11</v>
      </c>
      <c r="D80" s="1" t="s">
        <v>8</v>
      </c>
      <c r="E80" s="1">
        <v>0</v>
      </c>
      <c r="F80" s="1">
        <v>0.55016180000166004</v>
      </c>
      <c r="G80" s="1">
        <f t="shared" si="1"/>
        <v>550.16180000166003</v>
      </c>
    </row>
    <row r="81" spans="1:7" x14ac:dyDescent="0.35">
      <c r="A81" s="1" t="s">
        <v>24</v>
      </c>
      <c r="B81" s="1" t="s">
        <v>7</v>
      </c>
      <c r="C81" s="1" t="s">
        <v>8</v>
      </c>
      <c r="D81" s="1" t="s">
        <v>8</v>
      </c>
      <c r="E81" s="1">
        <v>1</v>
      </c>
      <c r="F81" s="1">
        <v>0.59885630000098899</v>
      </c>
      <c r="G81" s="1">
        <f t="shared" si="1"/>
        <v>598.85630000098899</v>
      </c>
    </row>
    <row r="82" spans="1:7" x14ac:dyDescent="0.35">
      <c r="A82" s="1" t="s">
        <v>13</v>
      </c>
      <c r="B82" s="1" t="s">
        <v>7</v>
      </c>
      <c r="C82" s="1" t="s">
        <v>8</v>
      </c>
      <c r="D82" s="1" t="s">
        <v>8</v>
      </c>
      <c r="E82" s="1">
        <v>1</v>
      </c>
      <c r="F82" s="1">
        <v>0.51089860000138199</v>
      </c>
      <c r="G82" s="1">
        <f t="shared" si="1"/>
        <v>510.89860000138196</v>
      </c>
    </row>
    <row r="83" spans="1:7" x14ac:dyDescent="0.35">
      <c r="A83" s="1" t="s">
        <v>16</v>
      </c>
      <c r="B83" s="1" t="s">
        <v>10</v>
      </c>
      <c r="C83" s="1" t="s">
        <v>11</v>
      </c>
      <c r="D83" s="1" t="s">
        <v>11</v>
      </c>
      <c r="E83" s="1">
        <v>1</v>
      </c>
      <c r="F83" s="1">
        <v>1.13290339999912</v>
      </c>
      <c r="G83" s="1">
        <f t="shared" si="1"/>
        <v>1132.90339999912</v>
      </c>
    </row>
    <row r="84" spans="1:7" x14ac:dyDescent="0.35">
      <c r="A84" s="1" t="s">
        <v>27</v>
      </c>
      <c r="B84" s="1" t="s">
        <v>7</v>
      </c>
      <c r="C84" s="1" t="s">
        <v>8</v>
      </c>
      <c r="D84" s="1" t="s">
        <v>8</v>
      </c>
      <c r="E84" s="1">
        <v>1</v>
      </c>
      <c r="F84" s="1">
        <v>0.61935739999898898</v>
      </c>
      <c r="G84" s="1">
        <f t="shared" si="1"/>
        <v>619.35739999898897</v>
      </c>
    </row>
    <row r="85" spans="1:7" x14ac:dyDescent="0.35">
      <c r="A85" s="1" t="s">
        <v>24</v>
      </c>
      <c r="B85" s="1" t="s">
        <v>7</v>
      </c>
      <c r="C85" s="1" t="s">
        <v>8</v>
      </c>
      <c r="D85" s="1" t="s">
        <v>8</v>
      </c>
      <c r="E85" s="1">
        <v>1</v>
      </c>
      <c r="F85" s="1">
        <v>0.72561739999946395</v>
      </c>
      <c r="G85" s="1">
        <f t="shared" si="1"/>
        <v>725.61739999946394</v>
      </c>
    </row>
    <row r="86" spans="1:7" x14ac:dyDescent="0.35">
      <c r="A86" s="1" t="s">
        <v>26</v>
      </c>
      <c r="B86" s="1" t="s">
        <v>10</v>
      </c>
      <c r="C86" s="1" t="s">
        <v>11</v>
      </c>
      <c r="D86" s="1" t="s">
        <v>8</v>
      </c>
      <c r="E86" s="1">
        <v>0</v>
      </c>
      <c r="F86" s="1">
        <v>0.47032229999967901</v>
      </c>
      <c r="G86" s="1">
        <f t="shared" si="1"/>
        <v>470.32229999967899</v>
      </c>
    </row>
    <row r="87" spans="1:7" x14ac:dyDescent="0.35">
      <c r="A87" s="1" t="s">
        <v>22</v>
      </c>
      <c r="B87" s="1" t="s">
        <v>7</v>
      </c>
      <c r="C87" s="1" t="s">
        <v>8</v>
      </c>
      <c r="D87" s="1" t="s">
        <v>8</v>
      </c>
      <c r="E87" s="1">
        <v>1</v>
      </c>
      <c r="F87" s="1">
        <v>0.54682669999965505</v>
      </c>
      <c r="G87" s="1">
        <f t="shared" si="1"/>
        <v>546.82669999965503</v>
      </c>
    </row>
    <row r="88" spans="1:7" x14ac:dyDescent="0.35">
      <c r="A88" s="1" t="s">
        <v>14</v>
      </c>
      <c r="B88" s="1" t="s">
        <v>10</v>
      </c>
      <c r="C88" s="1" t="s">
        <v>11</v>
      </c>
      <c r="D88" s="1" t="s">
        <v>11</v>
      </c>
      <c r="E88" s="1">
        <v>1</v>
      </c>
      <c r="F88" s="1">
        <v>1.0370060000004699</v>
      </c>
      <c r="G88" s="1">
        <f t="shared" si="1"/>
        <v>1037.0060000004698</v>
      </c>
    </row>
    <row r="89" spans="1:7" x14ac:dyDescent="0.35">
      <c r="A89" s="1" t="s">
        <v>9</v>
      </c>
      <c r="B89" s="1" t="s">
        <v>10</v>
      </c>
      <c r="C89" s="1" t="s">
        <v>11</v>
      </c>
      <c r="D89" s="1" t="s">
        <v>8</v>
      </c>
      <c r="E89" s="1">
        <v>0</v>
      </c>
      <c r="F89" s="1">
        <v>0.50812020000012104</v>
      </c>
      <c r="G89" s="1">
        <f t="shared" si="1"/>
        <v>508.12020000012103</v>
      </c>
    </row>
    <row r="90" spans="1:7" x14ac:dyDescent="0.35">
      <c r="A90" s="1" t="s">
        <v>12</v>
      </c>
      <c r="B90" s="1" t="s">
        <v>7</v>
      </c>
      <c r="C90" s="1" t="s">
        <v>8</v>
      </c>
      <c r="D90" s="1" t="s">
        <v>8</v>
      </c>
      <c r="E90" s="1">
        <v>1</v>
      </c>
      <c r="F90" s="1">
        <v>1.13134650000029</v>
      </c>
      <c r="G90" s="1">
        <f t="shared" si="1"/>
        <v>1131.34650000029</v>
      </c>
    </row>
    <row r="91" spans="1:7" x14ac:dyDescent="0.35">
      <c r="A91" s="1" t="s">
        <v>18</v>
      </c>
      <c r="B91" s="1" t="s">
        <v>7</v>
      </c>
      <c r="C91" s="1" t="s">
        <v>8</v>
      </c>
      <c r="D91" s="1" t="s">
        <v>8</v>
      </c>
      <c r="E91" s="1">
        <v>1</v>
      </c>
      <c r="F91" s="1">
        <v>0.75755089999984104</v>
      </c>
      <c r="G91" s="1">
        <f t="shared" si="1"/>
        <v>757.55089999984102</v>
      </c>
    </row>
    <row r="92" spans="1:7" x14ac:dyDescent="0.35">
      <c r="A92" s="1" t="s">
        <v>17</v>
      </c>
      <c r="B92" s="1" t="s">
        <v>10</v>
      </c>
      <c r="C92" s="1" t="s">
        <v>11</v>
      </c>
      <c r="D92" s="1" t="s">
        <v>11</v>
      </c>
      <c r="E92" s="1">
        <v>1</v>
      </c>
      <c r="F92" s="1">
        <v>1.40258720000019</v>
      </c>
      <c r="G92" s="1">
        <f t="shared" si="1"/>
        <v>1402.58720000019</v>
      </c>
    </row>
    <row r="93" spans="1:7" x14ac:dyDescent="0.35">
      <c r="A93" s="1" t="s">
        <v>15</v>
      </c>
      <c r="B93" s="1" t="s">
        <v>7</v>
      </c>
      <c r="C93" s="1" t="s">
        <v>8</v>
      </c>
      <c r="D93" s="1" t="s">
        <v>8</v>
      </c>
      <c r="E93" s="1">
        <v>1</v>
      </c>
      <c r="F93" s="1">
        <v>1.8782947999989099</v>
      </c>
      <c r="G93" s="1">
        <f t="shared" si="1"/>
        <v>1878.2947999989099</v>
      </c>
    </row>
    <row r="94" spans="1:7" x14ac:dyDescent="0.35">
      <c r="A94" s="1" t="s">
        <v>20</v>
      </c>
      <c r="B94" s="1" t="s">
        <v>10</v>
      </c>
      <c r="C94" s="1" t="s">
        <v>11</v>
      </c>
      <c r="D94" s="1" t="s">
        <v>11</v>
      </c>
      <c r="E94" s="1">
        <v>1</v>
      </c>
      <c r="F94" s="1">
        <v>1.34617459999935</v>
      </c>
      <c r="G94" s="1">
        <f t="shared" si="1"/>
        <v>1346.17459999935</v>
      </c>
    </row>
    <row r="95" spans="1:7" x14ac:dyDescent="0.35">
      <c r="A95" s="1" t="s">
        <v>28</v>
      </c>
      <c r="B95" s="1" t="s">
        <v>10</v>
      </c>
      <c r="C95" s="1" t="s">
        <v>11</v>
      </c>
      <c r="D95" s="1" t="s">
        <v>8</v>
      </c>
      <c r="E95" s="1">
        <v>0</v>
      </c>
      <c r="F95" s="1">
        <v>0.71084680000058098</v>
      </c>
      <c r="G95" s="1">
        <f t="shared" si="1"/>
        <v>710.84680000058097</v>
      </c>
    </row>
    <row r="96" spans="1:7" x14ac:dyDescent="0.35">
      <c r="A96" s="1" t="s">
        <v>23</v>
      </c>
      <c r="B96" s="1" t="s">
        <v>10</v>
      </c>
      <c r="C96" s="1" t="s">
        <v>11</v>
      </c>
      <c r="D96" s="1" t="s">
        <v>8</v>
      </c>
      <c r="E96" s="1">
        <v>0</v>
      </c>
      <c r="F96" s="1">
        <v>1.18994459999885</v>
      </c>
      <c r="G96" s="1">
        <f t="shared" si="1"/>
        <v>1189.94459999885</v>
      </c>
    </row>
    <row r="97" spans="1:7" x14ac:dyDescent="0.35">
      <c r="A97" s="1" t="s">
        <v>21</v>
      </c>
      <c r="B97" s="1" t="s">
        <v>10</v>
      </c>
      <c r="C97" s="1" t="s">
        <v>11</v>
      </c>
      <c r="D97" s="1" t="s">
        <v>11</v>
      </c>
      <c r="E97" s="1">
        <v>1</v>
      </c>
      <c r="F97" s="1">
        <v>1.96311319999949</v>
      </c>
      <c r="G97" s="1">
        <f t="shared" si="1"/>
        <v>1963.11319999949</v>
      </c>
    </row>
    <row r="98" spans="1:7" x14ac:dyDescent="0.35">
      <c r="A98" s="1" t="s">
        <v>29</v>
      </c>
      <c r="B98" s="1" t="s">
        <v>7</v>
      </c>
      <c r="C98" s="1" t="s">
        <v>8</v>
      </c>
      <c r="D98" s="1" t="s">
        <v>8</v>
      </c>
      <c r="E98" s="1">
        <v>1</v>
      </c>
      <c r="F98" s="1">
        <v>0.89965400000073703</v>
      </c>
      <c r="G98" s="1">
        <f t="shared" si="1"/>
        <v>899.65400000073703</v>
      </c>
    </row>
    <row r="99" spans="1:7" x14ac:dyDescent="0.35">
      <c r="A99" s="1" t="s">
        <v>19</v>
      </c>
      <c r="B99" s="1" t="s">
        <v>7</v>
      </c>
      <c r="C99" s="1" t="s">
        <v>8</v>
      </c>
      <c r="D99" s="1" t="s">
        <v>8</v>
      </c>
      <c r="E99" s="1">
        <v>1</v>
      </c>
      <c r="F99" s="1">
        <v>2.8236080000006001</v>
      </c>
      <c r="G99" s="1">
        <f t="shared" si="1"/>
        <v>2823.6080000006</v>
      </c>
    </row>
    <row r="100" spans="1:7" x14ac:dyDescent="0.35">
      <c r="A100" s="1" t="s">
        <v>6</v>
      </c>
      <c r="B100" s="1" t="s">
        <v>7</v>
      </c>
      <c r="C100" s="1" t="s">
        <v>8</v>
      </c>
      <c r="D100" s="1" t="s">
        <v>8</v>
      </c>
      <c r="E100" s="1">
        <v>1</v>
      </c>
      <c r="F100" s="1">
        <v>0.61489679999976898</v>
      </c>
      <c r="G100" s="1">
        <f t="shared" si="1"/>
        <v>614.89679999976897</v>
      </c>
    </row>
    <row r="101" spans="1:7" x14ac:dyDescent="0.35">
      <c r="A101" s="1" t="s">
        <v>25</v>
      </c>
      <c r="B101" s="1" t="s">
        <v>10</v>
      </c>
      <c r="C101" s="1" t="s">
        <v>11</v>
      </c>
      <c r="D101" s="1" t="s">
        <v>8</v>
      </c>
      <c r="E101" s="1">
        <v>0</v>
      </c>
      <c r="F101" s="1">
        <v>1.1076295000002501</v>
      </c>
      <c r="G101" s="1">
        <f t="shared" si="1"/>
        <v>1107.6295000002501</v>
      </c>
    </row>
    <row r="102" spans="1:7" x14ac:dyDescent="0.35">
      <c r="A102" s="1" t="s">
        <v>26</v>
      </c>
      <c r="B102" s="1" t="s">
        <v>10</v>
      </c>
      <c r="C102" s="1" t="s">
        <v>11</v>
      </c>
      <c r="D102" s="1" t="s">
        <v>11</v>
      </c>
      <c r="E102" s="1">
        <v>1</v>
      </c>
      <c r="F102" s="1">
        <v>0.85369070000160696</v>
      </c>
      <c r="G102" s="1">
        <f t="shared" si="1"/>
        <v>853.69070000160696</v>
      </c>
    </row>
    <row r="103" spans="1:7" x14ac:dyDescent="0.35">
      <c r="A103" s="1" t="s">
        <v>22</v>
      </c>
      <c r="B103" s="1" t="s">
        <v>7</v>
      </c>
      <c r="C103" s="1" t="s">
        <v>8</v>
      </c>
      <c r="D103" s="1" t="s">
        <v>8</v>
      </c>
      <c r="E103" s="1">
        <v>1</v>
      </c>
      <c r="F103" s="1">
        <v>1.7197387000014701</v>
      </c>
      <c r="G103" s="1">
        <f t="shared" si="1"/>
        <v>1719.7387000014701</v>
      </c>
    </row>
    <row r="104" spans="1:7" x14ac:dyDescent="0.35">
      <c r="A104" s="1" t="s">
        <v>15</v>
      </c>
      <c r="B104" s="1" t="s">
        <v>7</v>
      </c>
      <c r="C104" s="1" t="s">
        <v>8</v>
      </c>
      <c r="D104" s="1" t="s">
        <v>8</v>
      </c>
      <c r="E104" s="1">
        <v>1</v>
      </c>
      <c r="F104" s="1">
        <v>0.78148010000040802</v>
      </c>
      <c r="G104" s="1">
        <f t="shared" si="1"/>
        <v>781.48010000040802</v>
      </c>
    </row>
    <row r="105" spans="1:7" x14ac:dyDescent="0.35">
      <c r="A105" s="1" t="s">
        <v>19</v>
      </c>
      <c r="B105" s="1" t="s">
        <v>7</v>
      </c>
      <c r="C105" s="1" t="s">
        <v>8</v>
      </c>
      <c r="D105" s="1" t="s">
        <v>8</v>
      </c>
      <c r="E105" s="1">
        <v>1</v>
      </c>
      <c r="F105" s="1">
        <v>0.57413420000011595</v>
      </c>
      <c r="G105" s="1">
        <f t="shared" si="1"/>
        <v>574.13420000011592</v>
      </c>
    </row>
    <row r="106" spans="1:7" x14ac:dyDescent="0.35">
      <c r="A106" s="1" t="s">
        <v>14</v>
      </c>
      <c r="B106" s="1" t="s">
        <v>10</v>
      </c>
      <c r="C106" s="1" t="s">
        <v>11</v>
      </c>
      <c r="D106" s="1" t="s">
        <v>11</v>
      </c>
      <c r="E106" s="1">
        <v>1</v>
      </c>
      <c r="F106" s="1">
        <v>2.7133114999996901</v>
      </c>
      <c r="G106" s="1">
        <f t="shared" si="1"/>
        <v>2713.3114999996901</v>
      </c>
    </row>
    <row r="107" spans="1:7" x14ac:dyDescent="0.35">
      <c r="A107" s="1" t="s">
        <v>12</v>
      </c>
      <c r="B107" s="1" t="s">
        <v>7</v>
      </c>
      <c r="C107" s="1" t="s">
        <v>8</v>
      </c>
      <c r="D107" s="1" t="s">
        <v>8</v>
      </c>
      <c r="E107" s="1">
        <v>1</v>
      </c>
      <c r="F107" s="1">
        <v>1.3627223000003099</v>
      </c>
      <c r="G107" s="1">
        <f t="shared" si="1"/>
        <v>1362.7223000003098</v>
      </c>
    </row>
    <row r="108" spans="1:7" x14ac:dyDescent="0.35">
      <c r="A108" s="1" t="s">
        <v>25</v>
      </c>
      <c r="B108" s="1" t="s">
        <v>10</v>
      </c>
      <c r="C108" s="1" t="s">
        <v>11</v>
      </c>
      <c r="D108" s="1" t="s">
        <v>8</v>
      </c>
      <c r="E108" s="1">
        <v>0</v>
      </c>
      <c r="F108" s="1">
        <v>1.86686550000013</v>
      </c>
      <c r="G108" s="1">
        <f t="shared" si="1"/>
        <v>1866.8655000001299</v>
      </c>
    </row>
    <row r="109" spans="1:7" x14ac:dyDescent="0.35">
      <c r="A109" s="1" t="s">
        <v>28</v>
      </c>
      <c r="B109" s="1" t="s">
        <v>10</v>
      </c>
      <c r="C109" s="1" t="s">
        <v>11</v>
      </c>
      <c r="D109" s="1" t="s">
        <v>11</v>
      </c>
      <c r="E109" s="1">
        <v>1</v>
      </c>
      <c r="F109" s="1">
        <v>1.38710619999983</v>
      </c>
      <c r="G109" s="1">
        <f t="shared" si="1"/>
        <v>1387.1061999998299</v>
      </c>
    </row>
    <row r="110" spans="1:7" x14ac:dyDescent="0.35">
      <c r="A110" s="1" t="s">
        <v>21</v>
      </c>
      <c r="B110" s="1" t="s">
        <v>10</v>
      </c>
      <c r="C110" s="1" t="s">
        <v>11</v>
      </c>
      <c r="D110" s="1" t="s">
        <v>11</v>
      </c>
      <c r="E110" s="1">
        <v>1</v>
      </c>
      <c r="F110" s="1">
        <v>3.4765690000003802</v>
      </c>
      <c r="G110" s="1">
        <f t="shared" si="1"/>
        <v>3476.5690000003801</v>
      </c>
    </row>
    <row r="111" spans="1:7" x14ac:dyDescent="0.35">
      <c r="A111" s="1" t="s">
        <v>6</v>
      </c>
      <c r="B111" s="1" t="s">
        <v>7</v>
      </c>
      <c r="C111" s="1" t="s">
        <v>8</v>
      </c>
      <c r="D111" s="1" t="s">
        <v>8</v>
      </c>
      <c r="E111" s="1">
        <v>1</v>
      </c>
      <c r="F111" s="1">
        <v>1.28316660000018</v>
      </c>
      <c r="G111" s="1">
        <f t="shared" si="1"/>
        <v>1283.1666000001801</v>
      </c>
    </row>
    <row r="112" spans="1:7" x14ac:dyDescent="0.35">
      <c r="A112" s="1" t="s">
        <v>29</v>
      </c>
      <c r="B112" s="1" t="s">
        <v>7</v>
      </c>
      <c r="C112" s="1" t="s">
        <v>8</v>
      </c>
      <c r="D112" s="1" t="s">
        <v>8</v>
      </c>
      <c r="E112" s="1">
        <v>1</v>
      </c>
      <c r="F112" s="1">
        <v>1.61960180000096</v>
      </c>
      <c r="G112" s="1">
        <f t="shared" si="1"/>
        <v>1619.6018000009599</v>
      </c>
    </row>
    <row r="113" spans="1:7" x14ac:dyDescent="0.35">
      <c r="A113" s="1" t="s">
        <v>17</v>
      </c>
      <c r="B113" s="1" t="s">
        <v>10</v>
      </c>
      <c r="C113" s="1" t="s">
        <v>11</v>
      </c>
      <c r="D113" s="1" t="s">
        <v>11</v>
      </c>
      <c r="E113" s="1">
        <v>1</v>
      </c>
      <c r="F113" s="1">
        <v>1.0567245000001999</v>
      </c>
      <c r="G113" s="1">
        <f t="shared" si="1"/>
        <v>1056.7245000001999</v>
      </c>
    </row>
    <row r="114" spans="1:7" x14ac:dyDescent="0.35">
      <c r="A114" s="1" t="s">
        <v>23</v>
      </c>
      <c r="B114" s="1" t="s">
        <v>10</v>
      </c>
      <c r="C114" s="1" t="s">
        <v>11</v>
      </c>
      <c r="D114" s="1" t="s">
        <v>11</v>
      </c>
      <c r="E114" s="1">
        <v>1</v>
      </c>
      <c r="F114" s="1">
        <v>2.2859039000013501</v>
      </c>
      <c r="G114" s="1">
        <f t="shared" si="1"/>
        <v>2285.9039000013499</v>
      </c>
    </row>
    <row r="115" spans="1:7" x14ac:dyDescent="0.35">
      <c r="A115" s="1" t="s">
        <v>9</v>
      </c>
      <c r="B115" s="1" t="s">
        <v>10</v>
      </c>
      <c r="C115" s="1" t="s">
        <v>11</v>
      </c>
      <c r="D115" s="1" t="s">
        <v>11</v>
      </c>
      <c r="E115" s="1">
        <v>1</v>
      </c>
      <c r="F115" s="1">
        <v>0.91015009999864505</v>
      </c>
      <c r="G115" s="1">
        <f t="shared" si="1"/>
        <v>910.15009999864503</v>
      </c>
    </row>
    <row r="116" spans="1:7" x14ac:dyDescent="0.35">
      <c r="A116" s="1" t="s">
        <v>13</v>
      </c>
      <c r="B116" s="1" t="s">
        <v>7</v>
      </c>
      <c r="C116" s="1" t="s">
        <v>8</v>
      </c>
      <c r="D116" s="1" t="s">
        <v>8</v>
      </c>
      <c r="E116" s="1">
        <v>1</v>
      </c>
      <c r="F116" s="1">
        <v>0.991210800000772</v>
      </c>
      <c r="G116" s="1">
        <f t="shared" si="1"/>
        <v>991.210800000772</v>
      </c>
    </row>
    <row r="117" spans="1:7" x14ac:dyDescent="0.35">
      <c r="A117" s="1" t="s">
        <v>20</v>
      </c>
      <c r="B117" s="1" t="s">
        <v>10</v>
      </c>
      <c r="C117" s="1" t="s">
        <v>11</v>
      </c>
      <c r="D117" s="1" t="s">
        <v>11</v>
      </c>
      <c r="E117" s="1">
        <v>1</v>
      </c>
      <c r="F117" s="1">
        <v>1.06184980000034</v>
      </c>
      <c r="G117" s="1">
        <f t="shared" si="1"/>
        <v>1061.8498000003401</v>
      </c>
    </row>
    <row r="118" spans="1:7" x14ac:dyDescent="0.35">
      <c r="A118" s="1" t="s">
        <v>16</v>
      </c>
      <c r="B118" s="1" t="s">
        <v>10</v>
      </c>
      <c r="C118" s="1" t="s">
        <v>11</v>
      </c>
      <c r="D118" s="1" t="s">
        <v>11</v>
      </c>
      <c r="E118" s="1">
        <v>1</v>
      </c>
      <c r="F118" s="1">
        <v>1.1132074999986701</v>
      </c>
      <c r="G118" s="1">
        <f t="shared" si="1"/>
        <v>1113.2074999986701</v>
      </c>
    </row>
    <row r="119" spans="1:7" x14ac:dyDescent="0.35">
      <c r="A119" s="1" t="s">
        <v>24</v>
      </c>
      <c r="B119" s="1" t="s">
        <v>7</v>
      </c>
      <c r="C119" s="1" t="s">
        <v>8</v>
      </c>
      <c r="D119" s="1" t="s">
        <v>8</v>
      </c>
      <c r="E119" s="1">
        <v>1</v>
      </c>
      <c r="F119" s="1">
        <v>2.3027598000007798</v>
      </c>
      <c r="G119" s="1">
        <f t="shared" si="1"/>
        <v>2302.7598000007797</v>
      </c>
    </row>
    <row r="120" spans="1:7" x14ac:dyDescent="0.35">
      <c r="A120" s="1" t="s">
        <v>27</v>
      </c>
      <c r="B120" s="1" t="s">
        <v>7</v>
      </c>
      <c r="C120" s="1" t="s">
        <v>8</v>
      </c>
      <c r="D120" s="1" t="s">
        <v>8</v>
      </c>
      <c r="E120" s="1">
        <v>1</v>
      </c>
      <c r="F120" s="1">
        <v>0.53645500000129598</v>
      </c>
      <c r="G120" s="1">
        <f t="shared" si="1"/>
        <v>536.45500000129596</v>
      </c>
    </row>
    <row r="121" spans="1:7" x14ac:dyDescent="0.35">
      <c r="A121" s="1" t="s">
        <v>18</v>
      </c>
      <c r="B121" s="1" t="s">
        <v>7</v>
      </c>
      <c r="C121" s="1" t="s">
        <v>8</v>
      </c>
      <c r="D121" s="1" t="s">
        <v>8</v>
      </c>
      <c r="E121" s="1">
        <v>1</v>
      </c>
      <c r="F121" s="1">
        <v>0.45497199999954302</v>
      </c>
      <c r="G121" s="1">
        <f t="shared" si="1"/>
        <v>454.97199999954302</v>
      </c>
    </row>
    <row r="122" spans="1:7" x14ac:dyDescent="0.35">
      <c r="A122" s="1" t="s">
        <v>29</v>
      </c>
      <c r="B122" s="1" t="s">
        <v>7</v>
      </c>
      <c r="C122" s="1" t="s">
        <v>8</v>
      </c>
      <c r="D122" s="1" t="s">
        <v>8</v>
      </c>
      <c r="E122" s="1">
        <v>1</v>
      </c>
      <c r="F122" s="1">
        <v>0.53278730000056296</v>
      </c>
      <c r="G122" s="1">
        <f t="shared" si="1"/>
        <v>532.78730000056294</v>
      </c>
    </row>
    <row r="123" spans="1:7" x14ac:dyDescent="0.35">
      <c r="A123" s="1" t="s">
        <v>6</v>
      </c>
      <c r="B123" s="1" t="s">
        <v>7</v>
      </c>
      <c r="C123" s="1" t="s">
        <v>8</v>
      </c>
      <c r="D123" s="1" t="s">
        <v>8</v>
      </c>
      <c r="E123" s="1">
        <v>1</v>
      </c>
      <c r="F123" s="1">
        <v>0.47555730000021801</v>
      </c>
      <c r="G123" s="1">
        <f t="shared" si="1"/>
        <v>475.55730000021799</v>
      </c>
    </row>
    <row r="124" spans="1:7" x14ac:dyDescent="0.35">
      <c r="A124" s="1" t="s">
        <v>20</v>
      </c>
      <c r="B124" s="1" t="s">
        <v>10</v>
      </c>
      <c r="C124" s="1" t="s">
        <v>11</v>
      </c>
      <c r="D124" s="1" t="s">
        <v>8</v>
      </c>
      <c r="E124" s="1">
        <v>0</v>
      </c>
      <c r="F124" s="1">
        <v>0.44197910000002499</v>
      </c>
      <c r="G124" s="1">
        <f t="shared" si="1"/>
        <v>441.97910000002497</v>
      </c>
    </row>
    <row r="125" spans="1:7" x14ac:dyDescent="0.35">
      <c r="A125" s="1" t="s">
        <v>28</v>
      </c>
      <c r="B125" s="1" t="s">
        <v>10</v>
      </c>
      <c r="C125" s="1" t="s">
        <v>11</v>
      </c>
      <c r="D125" s="1" t="s">
        <v>11</v>
      </c>
      <c r="E125" s="1">
        <v>1</v>
      </c>
      <c r="F125" s="1">
        <v>1.0734407999989299</v>
      </c>
      <c r="G125" s="1">
        <f t="shared" si="1"/>
        <v>1073.4407999989298</v>
      </c>
    </row>
    <row r="126" spans="1:7" x14ac:dyDescent="0.35">
      <c r="A126" s="1" t="s">
        <v>27</v>
      </c>
      <c r="B126" s="1" t="s">
        <v>7</v>
      </c>
      <c r="C126" s="1" t="s">
        <v>8</v>
      </c>
      <c r="D126" s="1" t="s">
        <v>8</v>
      </c>
      <c r="E126" s="1">
        <v>1</v>
      </c>
      <c r="F126" s="1">
        <v>0.64267929999914397</v>
      </c>
      <c r="G126" s="1">
        <f t="shared" si="1"/>
        <v>642.67929999914395</v>
      </c>
    </row>
    <row r="127" spans="1:7" x14ac:dyDescent="0.35">
      <c r="A127" s="1" t="s">
        <v>12</v>
      </c>
      <c r="B127" s="1" t="s">
        <v>7</v>
      </c>
      <c r="C127" s="1" t="s">
        <v>8</v>
      </c>
      <c r="D127" s="1" t="s">
        <v>8</v>
      </c>
      <c r="E127" s="1">
        <v>1</v>
      </c>
      <c r="F127" s="1">
        <v>1.0560367999987601</v>
      </c>
      <c r="G127" s="1">
        <f t="shared" si="1"/>
        <v>1056.03679999876</v>
      </c>
    </row>
    <row r="128" spans="1:7" x14ac:dyDescent="0.35">
      <c r="A128" s="1" t="s">
        <v>25</v>
      </c>
      <c r="B128" s="1" t="s">
        <v>10</v>
      </c>
      <c r="C128" s="1" t="s">
        <v>11</v>
      </c>
      <c r="D128" s="1" t="s">
        <v>11</v>
      </c>
      <c r="E128" s="1">
        <v>1</v>
      </c>
      <c r="F128" s="1">
        <v>1.9014886000004401</v>
      </c>
      <c r="G128" s="1">
        <f t="shared" si="1"/>
        <v>1901.4886000004401</v>
      </c>
    </row>
    <row r="129" spans="1:7" x14ac:dyDescent="0.35">
      <c r="A129" s="1" t="s">
        <v>18</v>
      </c>
      <c r="B129" s="1" t="s">
        <v>7</v>
      </c>
      <c r="C129" s="1" t="s">
        <v>8</v>
      </c>
      <c r="D129" s="1" t="s">
        <v>8</v>
      </c>
      <c r="E129" s="1">
        <v>1</v>
      </c>
      <c r="F129" s="1">
        <v>0.63313439999910703</v>
      </c>
      <c r="G129" s="1">
        <f t="shared" si="1"/>
        <v>633.13439999910702</v>
      </c>
    </row>
    <row r="130" spans="1:7" x14ac:dyDescent="0.35">
      <c r="A130" s="1" t="s">
        <v>24</v>
      </c>
      <c r="B130" s="1" t="s">
        <v>7</v>
      </c>
      <c r="C130" s="1" t="s">
        <v>8</v>
      </c>
      <c r="D130" s="1" t="s">
        <v>8</v>
      </c>
      <c r="E130" s="1">
        <v>1</v>
      </c>
      <c r="F130" s="1">
        <v>0.56872640000074104</v>
      </c>
      <c r="G130" s="1">
        <f t="shared" si="1"/>
        <v>568.72640000074102</v>
      </c>
    </row>
    <row r="131" spans="1:7" x14ac:dyDescent="0.35">
      <c r="A131" s="1" t="s">
        <v>26</v>
      </c>
      <c r="B131" s="1" t="s">
        <v>10</v>
      </c>
      <c r="C131" s="1" t="s">
        <v>11</v>
      </c>
      <c r="D131" s="1" t="s">
        <v>11</v>
      </c>
      <c r="E131" s="1">
        <v>1</v>
      </c>
      <c r="F131" s="1">
        <v>1.14583589999892</v>
      </c>
      <c r="G131" s="1">
        <f t="shared" ref="G131:G194" si="2">F131*1000</f>
        <v>1145.83589999892</v>
      </c>
    </row>
    <row r="132" spans="1:7" x14ac:dyDescent="0.35">
      <c r="A132" s="1" t="s">
        <v>17</v>
      </c>
      <c r="B132" s="1" t="s">
        <v>10</v>
      </c>
      <c r="C132" s="1" t="s">
        <v>11</v>
      </c>
      <c r="D132" s="1" t="s">
        <v>11</v>
      </c>
      <c r="E132" s="1">
        <v>1</v>
      </c>
      <c r="F132" s="1">
        <v>0.69077089999882402</v>
      </c>
      <c r="G132" s="1">
        <f t="shared" si="2"/>
        <v>690.77089999882401</v>
      </c>
    </row>
    <row r="133" spans="1:7" x14ac:dyDescent="0.35">
      <c r="A133" s="1" t="s">
        <v>15</v>
      </c>
      <c r="B133" s="1" t="s">
        <v>7</v>
      </c>
      <c r="C133" s="1" t="s">
        <v>8</v>
      </c>
      <c r="D133" s="1" t="s">
        <v>8</v>
      </c>
      <c r="E133" s="1">
        <v>1</v>
      </c>
      <c r="F133" s="1">
        <v>0.58063539999966396</v>
      </c>
      <c r="G133" s="1">
        <f t="shared" si="2"/>
        <v>580.63539999966395</v>
      </c>
    </row>
    <row r="134" spans="1:7" x14ac:dyDescent="0.35">
      <c r="A134" s="1" t="s">
        <v>9</v>
      </c>
      <c r="B134" s="1" t="s">
        <v>10</v>
      </c>
      <c r="C134" s="1" t="s">
        <v>11</v>
      </c>
      <c r="D134" s="1" t="s">
        <v>8</v>
      </c>
      <c r="E134" s="1">
        <v>0</v>
      </c>
      <c r="F134" s="1">
        <v>1.7603569000002599</v>
      </c>
      <c r="G134" s="1">
        <f t="shared" si="2"/>
        <v>1760.3569000002599</v>
      </c>
    </row>
    <row r="135" spans="1:7" x14ac:dyDescent="0.35">
      <c r="A135" s="1" t="s">
        <v>23</v>
      </c>
      <c r="B135" s="1" t="s">
        <v>10</v>
      </c>
      <c r="C135" s="1" t="s">
        <v>11</v>
      </c>
      <c r="D135" s="1" t="s">
        <v>8</v>
      </c>
      <c r="E135" s="1">
        <v>0</v>
      </c>
      <c r="F135" s="1">
        <v>1.02650360000006</v>
      </c>
      <c r="G135" s="1">
        <f t="shared" si="2"/>
        <v>1026.50360000006</v>
      </c>
    </row>
    <row r="136" spans="1:7" x14ac:dyDescent="0.35">
      <c r="A136" s="1" t="s">
        <v>22</v>
      </c>
      <c r="B136" s="1" t="s">
        <v>7</v>
      </c>
      <c r="C136" s="1" t="s">
        <v>8</v>
      </c>
      <c r="D136" s="1" t="s">
        <v>8</v>
      </c>
      <c r="E136" s="1">
        <v>1</v>
      </c>
      <c r="F136" s="1">
        <v>1.5355796000003401</v>
      </c>
      <c r="G136" s="1">
        <f t="shared" si="2"/>
        <v>1535.5796000003402</v>
      </c>
    </row>
    <row r="137" spans="1:7" x14ac:dyDescent="0.35">
      <c r="A137" s="1" t="s">
        <v>16</v>
      </c>
      <c r="B137" s="1" t="s">
        <v>10</v>
      </c>
      <c r="C137" s="1" t="s">
        <v>11</v>
      </c>
      <c r="D137" s="1" t="s">
        <v>11</v>
      </c>
      <c r="E137" s="1">
        <v>1</v>
      </c>
      <c r="F137" s="1">
        <v>1.3431584000009</v>
      </c>
      <c r="G137" s="1">
        <f t="shared" si="2"/>
        <v>1343.1584000009</v>
      </c>
    </row>
    <row r="138" spans="1:7" x14ac:dyDescent="0.35">
      <c r="A138" s="1" t="s">
        <v>14</v>
      </c>
      <c r="B138" s="1" t="s">
        <v>10</v>
      </c>
      <c r="C138" s="1" t="s">
        <v>11</v>
      </c>
      <c r="D138" s="1" t="s">
        <v>11</v>
      </c>
      <c r="E138" s="1">
        <v>1</v>
      </c>
      <c r="F138" s="1">
        <v>0.64833200000066404</v>
      </c>
      <c r="G138" s="1">
        <f t="shared" si="2"/>
        <v>648.33200000066404</v>
      </c>
    </row>
    <row r="139" spans="1:7" x14ac:dyDescent="0.35">
      <c r="A139" s="1" t="s">
        <v>13</v>
      </c>
      <c r="B139" s="1" t="s">
        <v>7</v>
      </c>
      <c r="C139" s="1" t="s">
        <v>8</v>
      </c>
      <c r="D139" s="1" t="s">
        <v>8</v>
      </c>
      <c r="E139" s="1">
        <v>1</v>
      </c>
      <c r="F139" s="1">
        <v>0.60293550000096696</v>
      </c>
      <c r="G139" s="1">
        <f t="shared" si="2"/>
        <v>602.93550000096695</v>
      </c>
    </row>
    <row r="140" spans="1:7" x14ac:dyDescent="0.35">
      <c r="A140" s="1" t="s">
        <v>19</v>
      </c>
      <c r="B140" s="1" t="s">
        <v>7</v>
      </c>
      <c r="C140" s="1" t="s">
        <v>8</v>
      </c>
      <c r="D140" s="1" t="s">
        <v>8</v>
      </c>
      <c r="E140" s="1">
        <v>1</v>
      </c>
      <c r="F140" s="1">
        <v>0.78899279999859495</v>
      </c>
      <c r="G140" s="1">
        <f t="shared" si="2"/>
        <v>788.99279999859493</v>
      </c>
    </row>
    <row r="141" spans="1:7" x14ac:dyDescent="0.35">
      <c r="A141" s="1" t="s">
        <v>21</v>
      </c>
      <c r="B141" s="1" t="s">
        <v>10</v>
      </c>
      <c r="C141" s="1" t="s">
        <v>11</v>
      </c>
      <c r="D141" s="1" t="s">
        <v>11</v>
      </c>
      <c r="E141" s="1">
        <v>1</v>
      </c>
      <c r="F141" s="1">
        <v>1.31543380000039</v>
      </c>
      <c r="G141" s="1">
        <f t="shared" si="2"/>
        <v>1315.43380000039</v>
      </c>
    </row>
    <row r="142" spans="1:7" x14ac:dyDescent="0.35">
      <c r="A142" s="1" t="s">
        <v>16</v>
      </c>
      <c r="B142" s="1" t="s">
        <v>10</v>
      </c>
      <c r="C142" s="1" t="s">
        <v>11</v>
      </c>
      <c r="D142" s="1" t="s">
        <v>11</v>
      </c>
      <c r="E142" s="1">
        <v>1</v>
      </c>
      <c r="F142" s="1">
        <v>0.88906969999879903</v>
      </c>
      <c r="G142" s="1">
        <f t="shared" si="2"/>
        <v>889.06969999879902</v>
      </c>
    </row>
    <row r="143" spans="1:7" x14ac:dyDescent="0.35">
      <c r="A143" s="1" t="s">
        <v>28</v>
      </c>
      <c r="B143" s="1" t="s">
        <v>10</v>
      </c>
      <c r="C143" s="1" t="s">
        <v>11</v>
      </c>
      <c r="D143" s="1" t="s">
        <v>8</v>
      </c>
      <c r="E143" s="1">
        <v>0</v>
      </c>
      <c r="F143" s="1">
        <v>0.61155159999907405</v>
      </c>
      <c r="G143" s="1">
        <f t="shared" si="2"/>
        <v>611.55159999907403</v>
      </c>
    </row>
    <row r="144" spans="1:7" x14ac:dyDescent="0.35">
      <c r="A144" s="1" t="s">
        <v>20</v>
      </c>
      <c r="B144" s="1" t="s">
        <v>10</v>
      </c>
      <c r="C144" s="1" t="s">
        <v>11</v>
      </c>
      <c r="D144" s="1" t="s">
        <v>11</v>
      </c>
      <c r="E144" s="1">
        <v>1</v>
      </c>
      <c r="F144" s="1">
        <v>1.1201474999998</v>
      </c>
      <c r="G144" s="1">
        <f t="shared" si="2"/>
        <v>1120.1474999997999</v>
      </c>
    </row>
    <row r="145" spans="1:7" x14ac:dyDescent="0.35">
      <c r="A145" s="1" t="s">
        <v>13</v>
      </c>
      <c r="B145" s="1" t="s">
        <v>7</v>
      </c>
      <c r="C145" s="1" t="s">
        <v>8</v>
      </c>
      <c r="D145" s="1" t="s">
        <v>8</v>
      </c>
      <c r="E145" s="1">
        <v>1</v>
      </c>
      <c r="F145" s="1">
        <v>0.59577030000036701</v>
      </c>
      <c r="G145" s="1">
        <f t="shared" si="2"/>
        <v>595.770300000367</v>
      </c>
    </row>
    <row r="146" spans="1:7" x14ac:dyDescent="0.35">
      <c r="A146" s="1" t="s">
        <v>18</v>
      </c>
      <c r="B146" s="1" t="s">
        <v>7</v>
      </c>
      <c r="C146" s="1" t="s">
        <v>8</v>
      </c>
      <c r="D146" s="1" t="s">
        <v>8</v>
      </c>
      <c r="E146" s="1">
        <v>1</v>
      </c>
      <c r="F146" s="1">
        <v>1.4734797000000901</v>
      </c>
      <c r="G146" s="1">
        <f t="shared" si="2"/>
        <v>1473.4797000000901</v>
      </c>
    </row>
    <row r="147" spans="1:7" x14ac:dyDescent="0.35">
      <c r="A147" s="1" t="s">
        <v>9</v>
      </c>
      <c r="B147" s="1" t="s">
        <v>10</v>
      </c>
      <c r="C147" s="1" t="s">
        <v>11</v>
      </c>
      <c r="D147" s="1" t="s">
        <v>11</v>
      </c>
      <c r="E147" s="1">
        <v>1</v>
      </c>
      <c r="F147" s="1">
        <v>1.00681000000076</v>
      </c>
      <c r="G147" s="1">
        <f t="shared" si="2"/>
        <v>1006.8100000007601</v>
      </c>
    </row>
    <row r="148" spans="1:7" x14ac:dyDescent="0.35">
      <c r="A148" s="1" t="s">
        <v>23</v>
      </c>
      <c r="B148" s="1" t="s">
        <v>10</v>
      </c>
      <c r="C148" s="1" t="s">
        <v>11</v>
      </c>
      <c r="D148" s="1" t="s">
        <v>11</v>
      </c>
      <c r="E148" s="1">
        <v>1</v>
      </c>
      <c r="F148" s="1">
        <v>2.1025124000007001</v>
      </c>
      <c r="G148" s="1">
        <f t="shared" si="2"/>
        <v>2102.5124000006999</v>
      </c>
    </row>
    <row r="149" spans="1:7" x14ac:dyDescent="0.35">
      <c r="A149" s="1" t="s">
        <v>6</v>
      </c>
      <c r="B149" s="1" t="s">
        <v>7</v>
      </c>
      <c r="C149" s="1" t="s">
        <v>8</v>
      </c>
      <c r="D149" s="1" t="s">
        <v>8</v>
      </c>
      <c r="E149" s="1">
        <v>1</v>
      </c>
      <c r="F149" s="1">
        <v>0.44955730000037802</v>
      </c>
      <c r="G149" s="1">
        <f t="shared" si="2"/>
        <v>449.55730000037801</v>
      </c>
    </row>
    <row r="150" spans="1:7" x14ac:dyDescent="0.35">
      <c r="A150" s="1" t="s">
        <v>24</v>
      </c>
      <c r="B150" s="1" t="s">
        <v>7</v>
      </c>
      <c r="C150" s="1" t="s">
        <v>8</v>
      </c>
      <c r="D150" s="1" t="s">
        <v>8</v>
      </c>
      <c r="E150" s="1">
        <v>1</v>
      </c>
      <c r="F150" s="1">
        <v>0.54964719999952605</v>
      </c>
      <c r="G150" s="1">
        <f t="shared" si="2"/>
        <v>549.64719999952604</v>
      </c>
    </row>
    <row r="151" spans="1:7" x14ac:dyDescent="0.35">
      <c r="A151" s="1" t="s">
        <v>17</v>
      </c>
      <c r="B151" s="1" t="s">
        <v>10</v>
      </c>
      <c r="C151" s="1" t="s">
        <v>11</v>
      </c>
      <c r="D151" s="1" t="s">
        <v>11</v>
      </c>
      <c r="E151" s="1">
        <v>1</v>
      </c>
      <c r="F151" s="1">
        <v>1.94505670000035</v>
      </c>
      <c r="G151" s="1">
        <f t="shared" si="2"/>
        <v>1945.05670000035</v>
      </c>
    </row>
    <row r="152" spans="1:7" x14ac:dyDescent="0.35">
      <c r="A152" s="1" t="s">
        <v>25</v>
      </c>
      <c r="B152" s="1" t="s">
        <v>10</v>
      </c>
      <c r="C152" s="1" t="s">
        <v>11</v>
      </c>
      <c r="D152" s="1" t="s">
        <v>8</v>
      </c>
      <c r="E152" s="1">
        <v>0</v>
      </c>
      <c r="F152" s="1">
        <v>1.0648541999998899</v>
      </c>
      <c r="G152" s="1">
        <f t="shared" si="2"/>
        <v>1064.8541999998899</v>
      </c>
    </row>
    <row r="153" spans="1:7" x14ac:dyDescent="0.35">
      <c r="A153" s="1" t="s">
        <v>29</v>
      </c>
      <c r="B153" s="1" t="s">
        <v>7</v>
      </c>
      <c r="C153" s="1" t="s">
        <v>8</v>
      </c>
      <c r="D153" s="1" t="s">
        <v>8</v>
      </c>
      <c r="E153" s="1">
        <v>1</v>
      </c>
      <c r="F153" s="1">
        <v>1.3856653000002499</v>
      </c>
      <c r="G153" s="1">
        <f t="shared" si="2"/>
        <v>1385.66530000025</v>
      </c>
    </row>
    <row r="154" spans="1:7" x14ac:dyDescent="0.35">
      <c r="A154" s="1" t="s">
        <v>19</v>
      </c>
      <c r="B154" s="1" t="s">
        <v>7</v>
      </c>
      <c r="C154" s="1" t="s">
        <v>8</v>
      </c>
      <c r="D154" s="1" t="s">
        <v>8</v>
      </c>
      <c r="E154" s="1">
        <v>1</v>
      </c>
      <c r="F154" s="1">
        <v>0.48980809999920799</v>
      </c>
      <c r="G154" s="1">
        <f t="shared" si="2"/>
        <v>489.80809999920797</v>
      </c>
    </row>
    <row r="155" spans="1:7" x14ac:dyDescent="0.35">
      <c r="A155" s="1" t="s">
        <v>27</v>
      </c>
      <c r="B155" s="1" t="s">
        <v>7</v>
      </c>
      <c r="C155" s="1" t="s">
        <v>8</v>
      </c>
      <c r="D155" s="1" t="s">
        <v>8</v>
      </c>
      <c r="E155" s="1">
        <v>1</v>
      </c>
      <c r="F155" s="1">
        <v>0.40268689999902502</v>
      </c>
      <c r="G155" s="1">
        <f t="shared" si="2"/>
        <v>402.686899999025</v>
      </c>
    </row>
    <row r="156" spans="1:7" x14ac:dyDescent="0.35">
      <c r="A156" s="1" t="s">
        <v>26</v>
      </c>
      <c r="B156" s="1" t="s">
        <v>10</v>
      </c>
      <c r="C156" s="1" t="s">
        <v>11</v>
      </c>
      <c r="D156" s="1" t="s">
        <v>11</v>
      </c>
      <c r="E156" s="1">
        <v>1</v>
      </c>
      <c r="F156" s="1">
        <v>1.07868860000053</v>
      </c>
      <c r="G156" s="1">
        <f t="shared" si="2"/>
        <v>1078.68860000053</v>
      </c>
    </row>
    <row r="157" spans="1:7" x14ac:dyDescent="0.35">
      <c r="A157" s="1" t="s">
        <v>12</v>
      </c>
      <c r="B157" s="1" t="s">
        <v>7</v>
      </c>
      <c r="C157" s="1" t="s">
        <v>8</v>
      </c>
      <c r="D157" s="1" t="s">
        <v>8</v>
      </c>
      <c r="E157" s="1">
        <v>1</v>
      </c>
      <c r="F157" s="1">
        <v>0.57773349999843004</v>
      </c>
      <c r="G157" s="1">
        <f t="shared" si="2"/>
        <v>577.73349999843003</v>
      </c>
    </row>
    <row r="158" spans="1:7" x14ac:dyDescent="0.35">
      <c r="A158" s="1" t="s">
        <v>22</v>
      </c>
      <c r="B158" s="1" t="s">
        <v>7</v>
      </c>
      <c r="C158" s="1" t="s">
        <v>8</v>
      </c>
      <c r="D158" s="1" t="s">
        <v>8</v>
      </c>
      <c r="E158" s="1">
        <v>1</v>
      </c>
      <c r="F158" s="1">
        <v>0.74718579999898704</v>
      </c>
      <c r="G158" s="1">
        <f t="shared" si="2"/>
        <v>747.18579999898702</v>
      </c>
    </row>
    <row r="159" spans="1:7" x14ac:dyDescent="0.35">
      <c r="A159" s="1" t="s">
        <v>21</v>
      </c>
      <c r="B159" s="1" t="s">
        <v>10</v>
      </c>
      <c r="C159" s="1" t="s">
        <v>11</v>
      </c>
      <c r="D159" s="1" t="s">
        <v>11</v>
      </c>
      <c r="E159" s="1">
        <v>1</v>
      </c>
      <c r="F159" s="1">
        <v>0.61008519999995703</v>
      </c>
      <c r="G159" s="1">
        <f t="shared" si="2"/>
        <v>610.08519999995701</v>
      </c>
    </row>
    <row r="160" spans="1:7" x14ac:dyDescent="0.35">
      <c r="A160" s="1" t="s">
        <v>15</v>
      </c>
      <c r="B160" s="1" t="s">
        <v>7</v>
      </c>
      <c r="C160" s="1" t="s">
        <v>8</v>
      </c>
      <c r="D160" s="1" t="s">
        <v>8</v>
      </c>
      <c r="E160" s="1">
        <v>1</v>
      </c>
      <c r="F160" s="1">
        <v>0.56786699999975099</v>
      </c>
      <c r="G160" s="1">
        <f t="shared" si="2"/>
        <v>567.86699999975099</v>
      </c>
    </row>
    <row r="161" spans="1:7" x14ac:dyDescent="0.35">
      <c r="A161" s="1" t="s">
        <v>14</v>
      </c>
      <c r="B161" s="1" t="s">
        <v>10</v>
      </c>
      <c r="C161" s="1" t="s">
        <v>11</v>
      </c>
      <c r="D161" s="1" t="s">
        <v>11</v>
      </c>
      <c r="E161" s="1">
        <v>1</v>
      </c>
      <c r="F161" s="1">
        <v>2.2149877000010698</v>
      </c>
      <c r="G161" s="1">
        <f t="shared" si="2"/>
        <v>2214.9877000010697</v>
      </c>
    </row>
    <row r="162" spans="1:7" x14ac:dyDescent="0.35">
      <c r="A162" s="1" t="s">
        <v>25</v>
      </c>
      <c r="B162" s="1" t="s">
        <v>10</v>
      </c>
      <c r="C162" s="1" t="s">
        <v>11</v>
      </c>
      <c r="D162" s="1" t="s">
        <v>8</v>
      </c>
      <c r="E162" s="1">
        <v>0</v>
      </c>
      <c r="F162" s="1">
        <v>0.96509740000146804</v>
      </c>
      <c r="G162" s="1">
        <f t="shared" si="2"/>
        <v>965.09740000146803</v>
      </c>
    </row>
    <row r="163" spans="1:7" x14ac:dyDescent="0.35">
      <c r="A163" s="1" t="s">
        <v>19</v>
      </c>
      <c r="B163" s="1" t="s">
        <v>7</v>
      </c>
      <c r="C163" s="1" t="s">
        <v>8</v>
      </c>
      <c r="D163" s="1" t="s">
        <v>8</v>
      </c>
      <c r="E163" s="1">
        <v>1</v>
      </c>
      <c r="F163" s="1">
        <v>0.55618570000115097</v>
      </c>
      <c r="G163" s="1">
        <f t="shared" si="2"/>
        <v>556.18570000115096</v>
      </c>
    </row>
    <row r="164" spans="1:7" x14ac:dyDescent="0.35">
      <c r="A164" s="1" t="s">
        <v>16</v>
      </c>
      <c r="B164" s="1" t="s">
        <v>10</v>
      </c>
      <c r="C164" s="1" t="s">
        <v>11</v>
      </c>
      <c r="D164" s="1" t="s">
        <v>11</v>
      </c>
      <c r="E164" s="1">
        <v>1</v>
      </c>
      <c r="F164" s="1">
        <v>0.59048150000125998</v>
      </c>
      <c r="G164" s="1">
        <f t="shared" si="2"/>
        <v>590.48150000125997</v>
      </c>
    </row>
    <row r="165" spans="1:7" x14ac:dyDescent="0.35">
      <c r="A165" s="1" t="s">
        <v>14</v>
      </c>
      <c r="B165" s="1" t="s">
        <v>10</v>
      </c>
      <c r="C165" s="1" t="s">
        <v>11</v>
      </c>
      <c r="D165" s="1" t="s">
        <v>11</v>
      </c>
      <c r="E165" s="1">
        <v>1</v>
      </c>
      <c r="F165" s="1">
        <v>0.56473399999958895</v>
      </c>
      <c r="G165" s="1">
        <f t="shared" si="2"/>
        <v>564.73399999958895</v>
      </c>
    </row>
    <row r="166" spans="1:7" x14ac:dyDescent="0.35">
      <c r="A166" s="1" t="s">
        <v>12</v>
      </c>
      <c r="B166" s="1" t="s">
        <v>7</v>
      </c>
      <c r="C166" s="1" t="s">
        <v>8</v>
      </c>
      <c r="D166" s="1" t="s">
        <v>8</v>
      </c>
      <c r="E166" s="1">
        <v>1</v>
      </c>
      <c r="F166" s="1">
        <v>0.530064699998547</v>
      </c>
      <c r="G166" s="1">
        <f t="shared" si="2"/>
        <v>530.06469999854698</v>
      </c>
    </row>
    <row r="167" spans="1:7" x14ac:dyDescent="0.35">
      <c r="A167" s="1" t="s">
        <v>22</v>
      </c>
      <c r="B167" s="1" t="s">
        <v>7</v>
      </c>
      <c r="C167" s="1" t="s">
        <v>8</v>
      </c>
      <c r="D167" s="1" t="s">
        <v>8</v>
      </c>
      <c r="E167" s="1">
        <v>1</v>
      </c>
      <c r="F167" s="1">
        <v>0.45924829999967098</v>
      </c>
      <c r="G167" s="1">
        <f t="shared" si="2"/>
        <v>459.24829999967096</v>
      </c>
    </row>
    <row r="168" spans="1:7" x14ac:dyDescent="0.35">
      <c r="A168" s="1" t="s">
        <v>28</v>
      </c>
      <c r="B168" s="1" t="s">
        <v>10</v>
      </c>
      <c r="C168" s="1" t="s">
        <v>11</v>
      </c>
      <c r="D168" s="1" t="s">
        <v>11</v>
      </c>
      <c r="E168" s="1">
        <v>1</v>
      </c>
      <c r="F168" s="1">
        <v>1.2492467000010901</v>
      </c>
      <c r="G168" s="1">
        <f t="shared" si="2"/>
        <v>1249.2467000010899</v>
      </c>
    </row>
    <row r="169" spans="1:7" x14ac:dyDescent="0.35">
      <c r="A169" s="1" t="s">
        <v>29</v>
      </c>
      <c r="B169" s="1" t="s">
        <v>7</v>
      </c>
      <c r="C169" s="1" t="s">
        <v>8</v>
      </c>
      <c r="D169" s="1" t="s">
        <v>8</v>
      </c>
      <c r="E169" s="1">
        <v>1</v>
      </c>
      <c r="F169" s="1">
        <v>1.3583832999993299</v>
      </c>
      <c r="G169" s="1">
        <f t="shared" si="2"/>
        <v>1358.3832999993299</v>
      </c>
    </row>
    <row r="170" spans="1:7" x14ac:dyDescent="0.35">
      <c r="A170" s="1" t="s">
        <v>27</v>
      </c>
      <c r="B170" s="1" t="s">
        <v>7</v>
      </c>
      <c r="C170" s="1" t="s">
        <v>8</v>
      </c>
      <c r="D170" s="1" t="s">
        <v>8</v>
      </c>
      <c r="E170" s="1">
        <v>1</v>
      </c>
      <c r="F170" s="1">
        <v>0.50362139999924604</v>
      </c>
      <c r="G170" s="1">
        <f t="shared" si="2"/>
        <v>503.62139999924602</v>
      </c>
    </row>
    <row r="171" spans="1:7" x14ac:dyDescent="0.35">
      <c r="A171" s="1" t="s">
        <v>23</v>
      </c>
      <c r="B171" s="1" t="s">
        <v>10</v>
      </c>
      <c r="C171" s="1" t="s">
        <v>11</v>
      </c>
      <c r="D171" s="1" t="s">
        <v>8</v>
      </c>
      <c r="E171" s="1">
        <v>0</v>
      </c>
      <c r="F171" s="1">
        <v>0.40703589999975498</v>
      </c>
      <c r="G171" s="1">
        <f t="shared" si="2"/>
        <v>407.03589999975497</v>
      </c>
    </row>
    <row r="172" spans="1:7" x14ac:dyDescent="0.35">
      <c r="A172" s="1" t="s">
        <v>26</v>
      </c>
      <c r="B172" s="1" t="s">
        <v>10</v>
      </c>
      <c r="C172" s="1" t="s">
        <v>11</v>
      </c>
      <c r="D172" s="1" t="s">
        <v>11</v>
      </c>
      <c r="E172" s="1">
        <v>1</v>
      </c>
      <c r="F172" s="1">
        <v>0.80381719999968404</v>
      </c>
      <c r="G172" s="1">
        <f t="shared" si="2"/>
        <v>803.81719999968402</v>
      </c>
    </row>
    <row r="173" spans="1:7" x14ac:dyDescent="0.35">
      <c r="A173" s="1" t="s">
        <v>13</v>
      </c>
      <c r="B173" s="1" t="s">
        <v>7</v>
      </c>
      <c r="C173" s="1" t="s">
        <v>8</v>
      </c>
      <c r="D173" s="1" t="s">
        <v>8</v>
      </c>
      <c r="E173" s="1">
        <v>1</v>
      </c>
      <c r="F173" s="1">
        <v>0.85159840000051101</v>
      </c>
      <c r="G173" s="1">
        <f t="shared" si="2"/>
        <v>851.59840000051099</v>
      </c>
    </row>
    <row r="174" spans="1:7" x14ac:dyDescent="0.35">
      <c r="A174" s="1" t="s">
        <v>15</v>
      </c>
      <c r="B174" s="1" t="s">
        <v>7</v>
      </c>
      <c r="C174" s="1" t="s">
        <v>8</v>
      </c>
      <c r="D174" s="1" t="s">
        <v>8</v>
      </c>
      <c r="E174" s="1">
        <v>1</v>
      </c>
      <c r="F174" s="1">
        <v>0.96412280000004102</v>
      </c>
      <c r="G174" s="1">
        <f t="shared" si="2"/>
        <v>964.12280000004102</v>
      </c>
    </row>
    <row r="175" spans="1:7" x14ac:dyDescent="0.35">
      <c r="A175" s="1" t="s">
        <v>24</v>
      </c>
      <c r="B175" s="1" t="s">
        <v>7</v>
      </c>
      <c r="C175" s="1" t="s">
        <v>8</v>
      </c>
      <c r="D175" s="1" t="s">
        <v>8</v>
      </c>
      <c r="E175" s="1">
        <v>1</v>
      </c>
      <c r="F175" s="1">
        <v>0.62716509999881898</v>
      </c>
      <c r="G175" s="1">
        <f t="shared" si="2"/>
        <v>627.16509999881896</v>
      </c>
    </row>
    <row r="176" spans="1:7" x14ac:dyDescent="0.35">
      <c r="A176" s="1" t="s">
        <v>20</v>
      </c>
      <c r="B176" s="1" t="s">
        <v>10</v>
      </c>
      <c r="C176" s="1" t="s">
        <v>11</v>
      </c>
      <c r="D176" s="1" t="s">
        <v>11</v>
      </c>
      <c r="E176" s="1">
        <v>1</v>
      </c>
      <c r="F176" s="1">
        <v>0.85666490000039597</v>
      </c>
      <c r="G176" s="1">
        <f t="shared" si="2"/>
        <v>856.66490000039596</v>
      </c>
    </row>
    <row r="177" spans="1:7" x14ac:dyDescent="0.35">
      <c r="A177" s="1" t="s">
        <v>17</v>
      </c>
      <c r="B177" s="1" t="s">
        <v>10</v>
      </c>
      <c r="C177" s="1" t="s">
        <v>11</v>
      </c>
      <c r="D177" s="1" t="s">
        <v>11</v>
      </c>
      <c r="E177" s="1">
        <v>1</v>
      </c>
      <c r="F177" s="1">
        <v>0.70661570000083795</v>
      </c>
      <c r="G177" s="1">
        <f t="shared" si="2"/>
        <v>706.61570000083793</v>
      </c>
    </row>
    <row r="178" spans="1:7" x14ac:dyDescent="0.35">
      <c r="A178" s="1" t="s">
        <v>9</v>
      </c>
      <c r="B178" s="1" t="s">
        <v>10</v>
      </c>
      <c r="C178" s="1" t="s">
        <v>11</v>
      </c>
      <c r="D178" s="1" t="s">
        <v>11</v>
      </c>
      <c r="E178" s="1">
        <v>1</v>
      </c>
      <c r="F178" s="1">
        <v>0.53144369999972696</v>
      </c>
      <c r="G178" s="1">
        <f t="shared" si="2"/>
        <v>531.44369999972696</v>
      </c>
    </row>
    <row r="179" spans="1:7" x14ac:dyDescent="0.35">
      <c r="A179" s="1" t="s">
        <v>18</v>
      </c>
      <c r="B179" s="1" t="s">
        <v>7</v>
      </c>
      <c r="C179" s="1" t="s">
        <v>8</v>
      </c>
      <c r="D179" s="1" t="s">
        <v>8</v>
      </c>
      <c r="E179" s="1">
        <v>1</v>
      </c>
      <c r="F179" s="1">
        <v>0.62943070000073897</v>
      </c>
      <c r="G179" s="1">
        <f t="shared" si="2"/>
        <v>629.43070000073897</v>
      </c>
    </row>
    <row r="180" spans="1:7" x14ac:dyDescent="0.35">
      <c r="A180" s="1" t="s">
        <v>6</v>
      </c>
      <c r="B180" s="1" t="s">
        <v>7</v>
      </c>
      <c r="C180" s="1" t="s">
        <v>8</v>
      </c>
      <c r="D180" s="1" t="s">
        <v>8</v>
      </c>
      <c r="E180" s="1">
        <v>1</v>
      </c>
      <c r="F180" s="1">
        <v>0.62130129999968597</v>
      </c>
      <c r="G180" s="1">
        <f t="shared" si="2"/>
        <v>621.30129999968597</v>
      </c>
    </row>
    <row r="181" spans="1:7" x14ac:dyDescent="0.35">
      <c r="A181" s="1" t="s">
        <v>21</v>
      </c>
      <c r="B181" s="1" t="s">
        <v>10</v>
      </c>
      <c r="C181" s="1" t="s">
        <v>11</v>
      </c>
      <c r="D181" s="1" t="s">
        <v>11</v>
      </c>
      <c r="E181" s="1">
        <v>1</v>
      </c>
      <c r="F181" s="1">
        <v>1.5790056999994699</v>
      </c>
      <c r="G181" s="1">
        <f t="shared" si="2"/>
        <v>1579.0056999994699</v>
      </c>
    </row>
    <row r="182" spans="1:7" x14ac:dyDescent="0.35">
      <c r="A182" s="1" t="s">
        <v>12</v>
      </c>
      <c r="B182" s="1" t="s">
        <v>7</v>
      </c>
      <c r="C182" s="1" t="s">
        <v>8</v>
      </c>
      <c r="D182" s="1" t="s">
        <v>8</v>
      </c>
      <c r="E182" s="1">
        <v>1</v>
      </c>
      <c r="F182" s="1">
        <v>0.569467999999687</v>
      </c>
      <c r="G182" s="1">
        <f t="shared" si="2"/>
        <v>569.46799999968698</v>
      </c>
    </row>
    <row r="183" spans="1:7" x14ac:dyDescent="0.35">
      <c r="A183" s="1" t="s">
        <v>18</v>
      </c>
      <c r="B183" s="1" t="s">
        <v>7</v>
      </c>
      <c r="C183" s="1" t="s">
        <v>8</v>
      </c>
      <c r="D183" s="1" t="s">
        <v>8</v>
      </c>
      <c r="E183" s="1">
        <v>1</v>
      </c>
      <c r="F183" s="1">
        <v>0.50216890000046899</v>
      </c>
      <c r="G183" s="1">
        <f t="shared" si="2"/>
        <v>502.16890000046897</v>
      </c>
    </row>
    <row r="184" spans="1:7" x14ac:dyDescent="0.35">
      <c r="A184" s="1" t="s">
        <v>14</v>
      </c>
      <c r="B184" s="1" t="s">
        <v>10</v>
      </c>
      <c r="C184" s="1" t="s">
        <v>11</v>
      </c>
      <c r="D184" s="1" t="s">
        <v>11</v>
      </c>
      <c r="E184" s="1">
        <v>1</v>
      </c>
      <c r="F184" s="1">
        <v>1.29843530000107</v>
      </c>
      <c r="G184" s="1">
        <f t="shared" si="2"/>
        <v>1298.4353000010699</v>
      </c>
    </row>
    <row r="185" spans="1:7" x14ac:dyDescent="0.35">
      <c r="A185" s="1" t="s">
        <v>27</v>
      </c>
      <c r="B185" s="1" t="s">
        <v>7</v>
      </c>
      <c r="C185" s="1" t="s">
        <v>8</v>
      </c>
      <c r="D185" s="1" t="s">
        <v>8</v>
      </c>
      <c r="E185" s="1">
        <v>1</v>
      </c>
      <c r="F185" s="1">
        <v>1.1270892000011301</v>
      </c>
      <c r="G185" s="1">
        <f t="shared" si="2"/>
        <v>1127.0892000011302</v>
      </c>
    </row>
    <row r="186" spans="1:7" x14ac:dyDescent="0.35">
      <c r="A186" s="1" t="s">
        <v>17</v>
      </c>
      <c r="B186" s="1" t="s">
        <v>10</v>
      </c>
      <c r="C186" s="1" t="s">
        <v>11</v>
      </c>
      <c r="D186" s="1" t="s">
        <v>11</v>
      </c>
      <c r="E186" s="1">
        <v>1</v>
      </c>
      <c r="F186" s="1">
        <v>1.38607609999962</v>
      </c>
      <c r="G186" s="1">
        <f t="shared" si="2"/>
        <v>1386.0760999996201</v>
      </c>
    </row>
    <row r="187" spans="1:7" x14ac:dyDescent="0.35">
      <c r="A187" s="1" t="s">
        <v>9</v>
      </c>
      <c r="B187" s="1" t="s">
        <v>10</v>
      </c>
      <c r="C187" s="1" t="s">
        <v>11</v>
      </c>
      <c r="D187" s="1" t="s">
        <v>11</v>
      </c>
      <c r="E187" s="1">
        <v>1</v>
      </c>
      <c r="F187" s="1">
        <v>1.9863172000004801</v>
      </c>
      <c r="G187" s="1">
        <f t="shared" si="2"/>
        <v>1986.3172000004802</v>
      </c>
    </row>
    <row r="188" spans="1:7" x14ac:dyDescent="0.35">
      <c r="A188" s="1" t="s">
        <v>19</v>
      </c>
      <c r="B188" s="1" t="s">
        <v>7</v>
      </c>
      <c r="C188" s="1" t="s">
        <v>8</v>
      </c>
      <c r="D188" s="1" t="s">
        <v>8</v>
      </c>
      <c r="E188" s="1">
        <v>1</v>
      </c>
      <c r="F188" s="1">
        <v>0.59995140000137304</v>
      </c>
      <c r="G188" s="1">
        <f t="shared" si="2"/>
        <v>599.95140000137303</v>
      </c>
    </row>
    <row r="189" spans="1:7" x14ac:dyDescent="0.35">
      <c r="A189" s="1" t="s">
        <v>25</v>
      </c>
      <c r="B189" s="1" t="s">
        <v>10</v>
      </c>
      <c r="C189" s="1" t="s">
        <v>11</v>
      </c>
      <c r="D189" s="1" t="s">
        <v>11</v>
      </c>
      <c r="E189" s="1">
        <v>1</v>
      </c>
      <c r="F189" s="1">
        <v>1.9118261999992601</v>
      </c>
      <c r="G189" s="1">
        <f t="shared" si="2"/>
        <v>1911.8261999992601</v>
      </c>
    </row>
    <row r="190" spans="1:7" x14ac:dyDescent="0.35">
      <c r="A190" s="1" t="s">
        <v>21</v>
      </c>
      <c r="B190" s="1" t="s">
        <v>10</v>
      </c>
      <c r="C190" s="1" t="s">
        <v>11</v>
      </c>
      <c r="D190" s="1" t="s">
        <v>11</v>
      </c>
      <c r="E190" s="1">
        <v>1</v>
      </c>
      <c r="F190" s="1">
        <v>2.7566812000004499</v>
      </c>
      <c r="G190" s="1">
        <f t="shared" si="2"/>
        <v>2756.6812000004497</v>
      </c>
    </row>
    <row r="191" spans="1:7" x14ac:dyDescent="0.35">
      <c r="A191" s="1" t="s">
        <v>16</v>
      </c>
      <c r="B191" s="1" t="s">
        <v>10</v>
      </c>
      <c r="C191" s="1" t="s">
        <v>11</v>
      </c>
      <c r="D191" s="1" t="s">
        <v>11</v>
      </c>
      <c r="E191" s="1">
        <v>1</v>
      </c>
      <c r="F191" s="1">
        <v>1.27062719999958</v>
      </c>
      <c r="G191" s="1">
        <f t="shared" si="2"/>
        <v>1270.6271999995799</v>
      </c>
    </row>
    <row r="192" spans="1:7" x14ac:dyDescent="0.35">
      <c r="A192" s="1" t="s">
        <v>23</v>
      </c>
      <c r="B192" s="1" t="s">
        <v>10</v>
      </c>
      <c r="C192" s="1" t="s">
        <v>11</v>
      </c>
      <c r="D192" s="1" t="s">
        <v>11</v>
      </c>
      <c r="E192" s="1">
        <v>1</v>
      </c>
      <c r="F192" s="1">
        <v>2.0854399999989202</v>
      </c>
      <c r="G192" s="1">
        <f t="shared" si="2"/>
        <v>2085.43999999892</v>
      </c>
    </row>
    <row r="193" spans="1:7" x14ac:dyDescent="0.35">
      <c r="A193" s="1" t="s">
        <v>13</v>
      </c>
      <c r="B193" s="1" t="s">
        <v>7</v>
      </c>
      <c r="C193" s="1" t="s">
        <v>8</v>
      </c>
      <c r="D193" s="1" t="s">
        <v>8</v>
      </c>
      <c r="E193" s="1">
        <v>1</v>
      </c>
      <c r="F193" s="1">
        <v>0.50886859999991396</v>
      </c>
      <c r="G193" s="1">
        <f t="shared" si="2"/>
        <v>508.86859999991395</v>
      </c>
    </row>
    <row r="194" spans="1:7" x14ac:dyDescent="0.35">
      <c r="A194" s="1" t="s">
        <v>6</v>
      </c>
      <c r="B194" s="1" t="s">
        <v>7</v>
      </c>
      <c r="C194" s="1" t="s">
        <v>8</v>
      </c>
      <c r="D194" s="1" t="s">
        <v>8</v>
      </c>
      <c r="E194" s="1">
        <v>1</v>
      </c>
      <c r="F194" s="1">
        <v>0.598672900001474</v>
      </c>
      <c r="G194" s="1">
        <f t="shared" si="2"/>
        <v>598.67290000147398</v>
      </c>
    </row>
    <row r="195" spans="1:7" x14ac:dyDescent="0.35">
      <c r="A195" s="1" t="s">
        <v>28</v>
      </c>
      <c r="B195" s="1" t="s">
        <v>10</v>
      </c>
      <c r="C195" s="1" t="s">
        <v>11</v>
      </c>
      <c r="D195" s="1" t="s">
        <v>11</v>
      </c>
      <c r="E195" s="1">
        <v>1</v>
      </c>
      <c r="F195" s="1">
        <v>1.81303560000014</v>
      </c>
      <c r="G195" s="1">
        <f t="shared" ref="G195:G201" si="3">F195*1000</f>
        <v>1813.03560000014</v>
      </c>
    </row>
    <row r="196" spans="1:7" x14ac:dyDescent="0.35">
      <c r="A196" s="1" t="s">
        <v>20</v>
      </c>
      <c r="B196" s="1" t="s">
        <v>10</v>
      </c>
      <c r="C196" s="1" t="s">
        <v>11</v>
      </c>
      <c r="D196" s="1" t="s">
        <v>11</v>
      </c>
      <c r="E196" s="1">
        <v>1</v>
      </c>
      <c r="F196" s="1">
        <v>1.5266840999993201</v>
      </c>
      <c r="G196" s="1">
        <f t="shared" si="3"/>
        <v>1526.6840999993201</v>
      </c>
    </row>
    <row r="197" spans="1:7" x14ac:dyDescent="0.35">
      <c r="A197" s="1" t="s">
        <v>22</v>
      </c>
      <c r="B197" s="1" t="s">
        <v>7</v>
      </c>
      <c r="C197" s="1" t="s">
        <v>8</v>
      </c>
      <c r="D197" s="1" t="s">
        <v>8</v>
      </c>
      <c r="E197" s="1">
        <v>1</v>
      </c>
      <c r="F197" s="1">
        <v>0.62176170000020603</v>
      </c>
      <c r="G197" s="1">
        <f t="shared" si="3"/>
        <v>621.76170000020602</v>
      </c>
    </row>
    <row r="198" spans="1:7" x14ac:dyDescent="0.35">
      <c r="A198" s="1" t="s">
        <v>15</v>
      </c>
      <c r="B198" s="1" t="s">
        <v>7</v>
      </c>
      <c r="C198" s="1" t="s">
        <v>8</v>
      </c>
      <c r="D198" s="1" t="s">
        <v>8</v>
      </c>
      <c r="E198" s="1">
        <v>1</v>
      </c>
      <c r="F198" s="1">
        <v>0.44917209999948599</v>
      </c>
      <c r="G198" s="1">
        <f t="shared" si="3"/>
        <v>449.17209999948597</v>
      </c>
    </row>
    <row r="199" spans="1:7" x14ac:dyDescent="0.35">
      <c r="A199" s="1" t="s">
        <v>29</v>
      </c>
      <c r="B199" s="1" t="s">
        <v>7</v>
      </c>
      <c r="C199" s="1" t="s">
        <v>8</v>
      </c>
      <c r="D199" s="1" t="s">
        <v>8</v>
      </c>
      <c r="E199" s="1">
        <v>1</v>
      </c>
      <c r="F199" s="1">
        <v>0.441609400000743</v>
      </c>
      <c r="G199" s="1">
        <f t="shared" si="3"/>
        <v>441.60940000074299</v>
      </c>
    </row>
    <row r="200" spans="1:7" x14ac:dyDescent="0.35">
      <c r="A200" s="1" t="s">
        <v>24</v>
      </c>
      <c r="B200" s="1" t="s">
        <v>7</v>
      </c>
      <c r="C200" s="1" t="s">
        <v>8</v>
      </c>
      <c r="D200" s="1" t="s">
        <v>8</v>
      </c>
      <c r="E200" s="1">
        <v>1</v>
      </c>
      <c r="F200" s="1">
        <v>0.40376539999851901</v>
      </c>
      <c r="G200" s="1">
        <f t="shared" si="3"/>
        <v>403.765399998519</v>
      </c>
    </row>
    <row r="201" spans="1:7" x14ac:dyDescent="0.35">
      <c r="A201" s="1" t="s">
        <v>26</v>
      </c>
      <c r="B201" s="1" t="s">
        <v>10</v>
      </c>
      <c r="C201" s="1" t="s">
        <v>11</v>
      </c>
      <c r="D201" s="1" t="s">
        <v>11</v>
      </c>
      <c r="E201" s="1">
        <v>1</v>
      </c>
      <c r="F201" s="1">
        <v>2.35289470000134</v>
      </c>
      <c r="G201" s="1">
        <f t="shared" si="3"/>
        <v>2352.89470000134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566C3-C6D3-452D-AF3D-1E00D717F4F3}">
  <dimension ref="B3:K44"/>
  <sheetViews>
    <sheetView tabSelected="1" topLeftCell="A3" workbookViewId="0">
      <selection activeCell="B17" sqref="B17:C19"/>
    </sheetView>
  </sheetViews>
  <sheetFormatPr defaultRowHeight="14.5" x14ac:dyDescent="0.35"/>
  <cols>
    <col min="2" max="2" width="11.1796875" customWidth="1"/>
    <col min="3" max="3" width="17.54296875" customWidth="1"/>
    <col min="4" max="4" width="16.6328125" customWidth="1"/>
    <col min="5" max="5" width="17.90625" customWidth="1"/>
    <col min="6" max="6" width="17.1796875" customWidth="1"/>
    <col min="7" max="7" width="16.6328125" customWidth="1"/>
    <col min="8" max="8" width="12.453125" customWidth="1"/>
    <col min="9" max="9" width="19.54296875" customWidth="1"/>
    <col min="11" max="11" width="15.08984375" customWidth="1"/>
    <col min="12" max="12" width="14.26953125" customWidth="1"/>
  </cols>
  <sheetData>
    <row r="3" spans="2:9" ht="29" x14ac:dyDescent="0.35">
      <c r="B3" s="4" t="s">
        <v>39</v>
      </c>
      <c r="C3" s="4" t="s">
        <v>31</v>
      </c>
      <c r="D3" s="4" t="s">
        <v>32</v>
      </c>
      <c r="E3" s="4" t="s">
        <v>40</v>
      </c>
      <c r="G3" s="4" t="s">
        <v>39</v>
      </c>
      <c r="H3" s="4" t="s">
        <v>31</v>
      </c>
      <c r="I3" s="4" t="s">
        <v>46</v>
      </c>
    </row>
    <row r="4" spans="2:9" x14ac:dyDescent="0.35">
      <c r="B4" s="5" t="s">
        <v>41</v>
      </c>
      <c r="C4" s="6" t="s">
        <v>34</v>
      </c>
      <c r="D4" s="6">
        <v>99</v>
      </c>
      <c r="E4" s="6">
        <v>1</v>
      </c>
      <c r="G4" s="5" t="s">
        <v>41</v>
      </c>
      <c r="H4" s="6" t="s">
        <v>34</v>
      </c>
      <c r="I4" s="6">
        <v>0.87045952400000004</v>
      </c>
    </row>
    <row r="5" spans="2:9" x14ac:dyDescent="0.35">
      <c r="B5" s="5"/>
      <c r="C5" s="6" t="s">
        <v>35</v>
      </c>
      <c r="D5" s="6">
        <v>42</v>
      </c>
      <c r="E5" s="6">
        <v>58</v>
      </c>
      <c r="G5" s="5"/>
      <c r="H5" s="6" t="s">
        <v>35</v>
      </c>
      <c r="I5" s="6">
        <v>1.1417747069999999</v>
      </c>
    </row>
    <row r="6" spans="2:9" x14ac:dyDescent="0.35">
      <c r="B6" s="5" t="s">
        <v>42</v>
      </c>
      <c r="C6" s="6" t="s">
        <v>34</v>
      </c>
      <c r="D6" s="6">
        <v>99</v>
      </c>
      <c r="E6" s="6">
        <v>1</v>
      </c>
      <c r="G6" s="5" t="s">
        <v>42</v>
      </c>
      <c r="H6" s="6" t="s">
        <v>34</v>
      </c>
      <c r="I6" s="6">
        <v>1.0438090600000001</v>
      </c>
    </row>
    <row r="7" spans="2:9" x14ac:dyDescent="0.35">
      <c r="B7" s="5"/>
      <c r="C7" s="6" t="s">
        <v>35</v>
      </c>
      <c r="D7" s="6">
        <v>55</v>
      </c>
      <c r="E7" s="6">
        <v>45</v>
      </c>
      <c r="G7" s="5"/>
      <c r="H7" s="6" t="s">
        <v>35</v>
      </c>
      <c r="I7" s="6">
        <v>1.5067770359999999</v>
      </c>
    </row>
    <row r="8" spans="2:9" x14ac:dyDescent="0.35">
      <c r="B8" s="5" t="s">
        <v>43</v>
      </c>
      <c r="C8" s="6" t="s">
        <v>34</v>
      </c>
      <c r="D8" s="6">
        <v>100</v>
      </c>
      <c r="E8" s="6">
        <v>0</v>
      </c>
      <c r="G8" s="5" t="s">
        <v>43</v>
      </c>
      <c r="H8" s="6" t="s">
        <v>34</v>
      </c>
      <c r="I8" s="6">
        <v>0.85725000100000004</v>
      </c>
    </row>
    <row r="9" spans="2:9" x14ac:dyDescent="0.35">
      <c r="B9" s="5"/>
      <c r="C9" s="6" t="s">
        <v>35</v>
      </c>
      <c r="D9" s="6">
        <v>78</v>
      </c>
      <c r="E9" s="6">
        <v>22</v>
      </c>
      <c r="G9" s="5"/>
      <c r="H9" s="6" t="s">
        <v>35</v>
      </c>
      <c r="I9" s="6">
        <v>1.4202950889999999</v>
      </c>
    </row>
    <row r="10" spans="2:9" x14ac:dyDescent="0.35">
      <c r="B10" s="5" t="s">
        <v>44</v>
      </c>
      <c r="C10" s="6" t="s">
        <v>34</v>
      </c>
      <c r="D10" s="6">
        <v>100</v>
      </c>
      <c r="E10" s="6">
        <v>0</v>
      </c>
      <c r="G10" s="5" t="s">
        <v>44</v>
      </c>
      <c r="H10" s="6" t="s">
        <v>34</v>
      </c>
      <c r="I10" s="6">
        <v>0.73533331599999996</v>
      </c>
    </row>
    <row r="11" spans="2:9" x14ac:dyDescent="0.35">
      <c r="B11" s="5"/>
      <c r="C11" s="6" t="s">
        <v>35</v>
      </c>
      <c r="D11" s="6">
        <v>82</v>
      </c>
      <c r="E11" s="6">
        <v>18</v>
      </c>
      <c r="G11" s="5"/>
      <c r="H11" s="6" t="s">
        <v>35</v>
      </c>
      <c r="I11" s="6">
        <v>1.404616957</v>
      </c>
    </row>
    <row r="12" spans="2:9" x14ac:dyDescent="0.35">
      <c r="B12" s="5" t="s">
        <v>45</v>
      </c>
      <c r="C12" s="6" t="s">
        <v>34</v>
      </c>
      <c r="D12" s="6">
        <v>100</v>
      </c>
      <c r="E12" s="6">
        <v>0</v>
      </c>
      <c r="G12" s="5" t="s">
        <v>45</v>
      </c>
      <c r="H12" s="6" t="s">
        <v>34</v>
      </c>
      <c r="I12" s="6">
        <v>0.82427317099999997</v>
      </c>
    </row>
    <row r="13" spans="2:9" x14ac:dyDescent="0.35">
      <c r="B13" s="5"/>
      <c r="C13" s="6" t="s">
        <v>35</v>
      </c>
      <c r="D13" s="6">
        <v>74</v>
      </c>
      <c r="E13" s="6">
        <v>26</v>
      </c>
      <c r="G13" s="5"/>
      <c r="H13" s="6" t="s">
        <v>35</v>
      </c>
      <c r="I13" s="6">
        <v>1.3675481780000001</v>
      </c>
    </row>
    <row r="17" spans="2:11" x14ac:dyDescent="0.35">
      <c r="B17" s="1" t="s">
        <v>31</v>
      </c>
      <c r="C17" s="1" t="s">
        <v>32</v>
      </c>
      <c r="D17" s="1" t="s">
        <v>49</v>
      </c>
      <c r="E17" s="1" t="s">
        <v>52</v>
      </c>
      <c r="F17" s="1" t="s">
        <v>53</v>
      </c>
      <c r="G17" s="1" t="s">
        <v>50</v>
      </c>
      <c r="H17" s="1" t="s">
        <v>51</v>
      </c>
      <c r="I17" s="1" t="s">
        <v>54</v>
      </c>
    </row>
    <row r="18" spans="2:11" x14ac:dyDescent="0.35">
      <c r="B18" s="1" t="s">
        <v>48</v>
      </c>
      <c r="C18" s="1">
        <f>AVERAGE(D4,D6,D8,D10,D12)</f>
        <v>99.6</v>
      </c>
      <c r="D18" s="1">
        <f>_xlfn.STDEV.S(D4,D6,D8,D10,D12)</f>
        <v>0.54772255750516607</v>
      </c>
      <c r="E18" s="1">
        <f>(D18/C18)*100</f>
        <v>0.54992224649113064</v>
      </c>
      <c r="F18" s="1">
        <f>AVERAGE(I4,I6,I8,I10,I12)</f>
        <v>0.86622501439999999</v>
      </c>
      <c r="G18" s="1">
        <f>_xlfn.STDEV.S(I4,I6,I8,I10,I12)</f>
        <v>0.11239124639339221</v>
      </c>
      <c r="H18" s="1">
        <f>(G18/F18)*100</f>
        <v>12.9748326964722</v>
      </c>
      <c r="I18" s="1">
        <f>SUM(E4,E6,E8,E10,E12)</f>
        <v>2</v>
      </c>
    </row>
    <row r="19" spans="2:11" x14ac:dyDescent="0.35">
      <c r="B19" s="1" t="s">
        <v>47</v>
      </c>
      <c r="C19" s="1">
        <f>AVERAGE(D5,D7,D9,D11,D13)</f>
        <v>66.2</v>
      </c>
      <c r="D19" s="1">
        <f>_xlfn.STDEV.S(D5,D7,D9,D11,D13)</f>
        <v>17.035257556021858</v>
      </c>
      <c r="E19" s="1">
        <f>(D19/C19)*100</f>
        <v>25.733017456226371</v>
      </c>
      <c r="F19" s="1">
        <f>AVERAGE(I5,I7,I9,I11,I13)</f>
        <v>1.3682023933999998</v>
      </c>
      <c r="G19" s="1">
        <f>_xlfn.STDEV.S(I5,I7,I9,I11,I13)</f>
        <v>0.13648491319099776</v>
      </c>
      <c r="H19" s="1">
        <f>(G19/F19)*100</f>
        <v>9.9754914806011321</v>
      </c>
      <c r="I19" s="1">
        <f>SUM(E5,E7,E9,E11,E13)</f>
        <v>169</v>
      </c>
    </row>
    <row r="20" spans="2:11" x14ac:dyDescent="0.35">
      <c r="C20" s="8"/>
    </row>
    <row r="21" spans="2:11" x14ac:dyDescent="0.35">
      <c r="C21" s="8"/>
      <c r="D21" s="7"/>
      <c r="E21" s="7"/>
      <c r="F21" s="7"/>
      <c r="G21" s="7"/>
      <c r="H21" s="7"/>
    </row>
    <row r="22" spans="2:11" x14ac:dyDescent="0.35">
      <c r="C22" s="8"/>
      <c r="D22" s="8"/>
      <c r="E22" s="8"/>
      <c r="F22" s="8"/>
      <c r="G22" s="8"/>
      <c r="H22" s="7"/>
      <c r="I22" s="2"/>
      <c r="J22" s="2"/>
      <c r="K22" s="2"/>
    </row>
    <row r="23" spans="2:11" x14ac:dyDescent="0.35">
      <c r="C23" s="8"/>
      <c r="D23" s="8"/>
      <c r="E23" s="8"/>
      <c r="F23" s="8"/>
      <c r="G23" s="8"/>
      <c r="H23" s="8"/>
      <c r="I23" s="3"/>
      <c r="J23" s="3"/>
      <c r="K23" s="3"/>
    </row>
    <row r="24" spans="2:11" x14ac:dyDescent="0.35">
      <c r="C24" s="9"/>
      <c r="D24" s="8"/>
      <c r="E24" s="8"/>
      <c r="F24" s="8"/>
      <c r="G24" s="8"/>
      <c r="H24" s="8"/>
      <c r="I24" s="3"/>
      <c r="J24" s="3"/>
      <c r="K24" s="3"/>
    </row>
    <row r="25" spans="2:11" x14ac:dyDescent="0.35">
      <c r="D25" s="8"/>
      <c r="E25" s="8"/>
      <c r="F25" s="8"/>
      <c r="G25" s="8"/>
      <c r="H25" s="9"/>
    </row>
    <row r="26" spans="2:11" x14ac:dyDescent="0.35">
      <c r="C26" s="2"/>
      <c r="D26" s="8"/>
      <c r="E26" s="8"/>
      <c r="F26" s="8"/>
      <c r="G26" s="8"/>
      <c r="H26" s="9"/>
    </row>
    <row r="27" spans="2:11" x14ac:dyDescent="0.35">
      <c r="C27" s="3"/>
      <c r="D27" s="8"/>
      <c r="E27" s="8"/>
      <c r="F27" s="8"/>
      <c r="G27" s="8"/>
      <c r="H27" s="9"/>
    </row>
    <row r="28" spans="2:11" x14ac:dyDescent="0.35">
      <c r="C28" s="3"/>
      <c r="D28" s="8"/>
      <c r="E28" s="8"/>
      <c r="F28" s="8"/>
      <c r="G28" s="8"/>
      <c r="H28" s="9"/>
    </row>
    <row r="29" spans="2:11" x14ac:dyDescent="0.35">
      <c r="C29" s="3"/>
      <c r="D29" s="8"/>
      <c r="E29" s="8"/>
      <c r="F29" s="8"/>
      <c r="G29" s="8"/>
      <c r="H29" s="9"/>
    </row>
    <row r="30" spans="2:11" x14ac:dyDescent="0.35">
      <c r="C30" s="3"/>
      <c r="D30" s="8"/>
      <c r="E30" s="8"/>
      <c r="F30" s="8"/>
      <c r="G30" s="8"/>
      <c r="H30" s="9"/>
    </row>
    <row r="31" spans="2:11" x14ac:dyDescent="0.35">
      <c r="C31" s="3"/>
      <c r="D31" s="8"/>
      <c r="E31" s="8"/>
      <c r="F31" s="8"/>
      <c r="G31" s="8"/>
      <c r="H31" s="9"/>
    </row>
    <row r="32" spans="2:11" x14ac:dyDescent="0.35">
      <c r="C32" s="3"/>
      <c r="D32" s="9"/>
      <c r="E32" s="9"/>
      <c r="F32" s="9"/>
      <c r="G32" s="9"/>
      <c r="H32" s="9"/>
    </row>
    <row r="33" spans="3:7" x14ac:dyDescent="0.35">
      <c r="C33" s="3"/>
      <c r="D33" s="2"/>
    </row>
    <row r="34" spans="3:7" x14ac:dyDescent="0.35">
      <c r="C34" s="3"/>
      <c r="D34" s="2"/>
      <c r="E34" s="2"/>
      <c r="F34" s="2"/>
      <c r="G34" s="2"/>
    </row>
    <row r="35" spans="3:7" x14ac:dyDescent="0.35">
      <c r="C35" s="3"/>
      <c r="D35" s="3"/>
      <c r="E35" s="3"/>
      <c r="F35" s="3"/>
      <c r="G35" s="3"/>
    </row>
    <row r="36" spans="3:7" x14ac:dyDescent="0.35">
      <c r="C36" s="3"/>
      <c r="D36" s="3"/>
      <c r="E36" s="3"/>
      <c r="F36" s="3"/>
      <c r="G36" s="3"/>
    </row>
    <row r="37" spans="3:7" x14ac:dyDescent="0.35">
      <c r="D37" s="3"/>
      <c r="E37" s="3"/>
      <c r="F37" s="3"/>
      <c r="G37" s="3"/>
    </row>
    <row r="38" spans="3:7" x14ac:dyDescent="0.35">
      <c r="D38" s="3"/>
      <c r="E38" s="3"/>
      <c r="F38" s="3"/>
      <c r="G38" s="3"/>
    </row>
    <row r="39" spans="3:7" x14ac:dyDescent="0.35">
      <c r="D39" s="3"/>
      <c r="E39" s="3"/>
      <c r="F39" s="3"/>
      <c r="G39" s="3"/>
    </row>
    <row r="40" spans="3:7" x14ac:dyDescent="0.35">
      <c r="D40" s="3"/>
      <c r="E40" s="3"/>
      <c r="F40" s="3"/>
      <c r="G40" s="3"/>
    </row>
    <row r="41" spans="3:7" x14ac:dyDescent="0.35">
      <c r="D41" s="3"/>
      <c r="E41" s="3"/>
      <c r="F41" s="3"/>
      <c r="G41" s="3"/>
    </row>
    <row r="42" spans="3:7" x14ac:dyDescent="0.35">
      <c r="D42" s="3"/>
      <c r="E42" s="3"/>
      <c r="F42" s="3"/>
      <c r="G42" s="3"/>
    </row>
    <row r="43" spans="3:7" x14ac:dyDescent="0.35">
      <c r="D43" s="3"/>
      <c r="E43" s="3"/>
      <c r="F43" s="3"/>
      <c r="G43" s="3"/>
    </row>
    <row r="44" spans="3:7" x14ac:dyDescent="0.35">
      <c r="D44" s="3"/>
      <c r="E44" s="3"/>
      <c r="F44" s="3"/>
      <c r="G4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P01</vt:lpstr>
      <vt:lpstr>P02</vt:lpstr>
      <vt:lpstr>P03</vt:lpstr>
      <vt:lpstr>P04</vt:lpstr>
      <vt:lpstr>P05</vt:lpstr>
      <vt:lpstr>Grp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Heer Mankad</dc:creator>
  <cp:lastModifiedBy>Heer Mankad</cp:lastModifiedBy>
  <dcterms:created xsi:type="dcterms:W3CDTF">2025-11-19T18:13:09Z</dcterms:created>
  <dcterms:modified xsi:type="dcterms:W3CDTF">2025-11-20T15:33:59Z</dcterms:modified>
</cp:coreProperties>
</file>