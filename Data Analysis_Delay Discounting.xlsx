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er Mankad\OneDrive\Desktop\PSY310\Delay Discounting\data\"/>
    </mc:Choice>
  </mc:AlternateContent>
  <xr:revisionPtr revIDLastSave="0" documentId="13_ncr:1_{DA0A4561-A8F0-4D4E-A708-07A20D347D9B}" xr6:coauthVersionLast="47" xr6:coauthVersionMax="47" xr10:uidLastSave="{00000000-0000-0000-0000-000000000000}"/>
  <bookViews>
    <workbookView xWindow="-110" yWindow="-110" windowWidth="19420" windowHeight="11500" activeTab="3" xr2:uid="{3D2F3F8A-E164-4090-9312-F5FD28246E8A}"/>
  </bookViews>
  <sheets>
    <sheet name="P1" sheetId="1" r:id="rId1"/>
    <sheet name="P2" sheetId="2" r:id="rId2"/>
    <sheet name="P3" sheetId="3" r:id="rId3"/>
    <sheet name="P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4" l="1"/>
  <c r="J11" i="4"/>
  <c r="J10" i="4"/>
  <c r="J9" i="4"/>
  <c r="I4" i="4"/>
  <c r="F8" i="4"/>
  <c r="F10" i="4"/>
  <c r="F13" i="4"/>
  <c r="F16" i="4"/>
  <c r="F18" i="4"/>
  <c r="F21" i="4"/>
  <c r="F23" i="4"/>
  <c r="F26" i="4"/>
  <c r="F30" i="4"/>
  <c r="F32" i="4"/>
  <c r="F41" i="4"/>
  <c r="F46" i="4"/>
  <c r="F49" i="4"/>
  <c r="F55" i="4"/>
  <c r="F60" i="4"/>
  <c r="F62" i="4"/>
  <c r="F67" i="4"/>
  <c r="F70" i="4"/>
  <c r="F72" i="4"/>
  <c r="F74" i="4"/>
  <c r="F76" i="4"/>
  <c r="F79" i="4"/>
  <c r="F82" i="4"/>
  <c r="F86" i="4"/>
  <c r="F89" i="4"/>
  <c r="F92" i="4"/>
  <c r="F94" i="4"/>
  <c r="F97" i="4"/>
  <c r="F100" i="4"/>
  <c r="I4" i="3"/>
  <c r="F96" i="3"/>
  <c r="F90" i="3"/>
  <c r="F87" i="3"/>
  <c r="F85" i="3"/>
  <c r="F81" i="3"/>
  <c r="F78" i="3"/>
  <c r="F72" i="3"/>
  <c r="F69" i="3"/>
  <c r="F67" i="3"/>
  <c r="F63" i="3"/>
  <c r="F61" i="3"/>
  <c r="F53" i="3"/>
  <c r="F46" i="3"/>
  <c r="F38" i="3"/>
  <c r="F33" i="3"/>
  <c r="F31" i="3"/>
  <c r="F24" i="3"/>
  <c r="F19" i="3"/>
  <c r="F17" i="3"/>
  <c r="F15" i="3"/>
  <c r="F13" i="3"/>
  <c r="F10" i="3"/>
  <c r="F6" i="3"/>
  <c r="F42" i="3"/>
  <c r="I4" i="2"/>
  <c r="F95" i="2"/>
  <c r="F92" i="2"/>
  <c r="F85" i="2"/>
  <c r="F81" i="2"/>
  <c r="F75" i="2"/>
  <c r="F72" i="2"/>
  <c r="F67" i="2"/>
  <c r="F63" i="2"/>
  <c r="F59" i="2"/>
  <c r="F57" i="2"/>
  <c r="F51" i="2"/>
  <c r="F47" i="2"/>
  <c r="F43" i="2"/>
  <c r="F40" i="2"/>
  <c r="F37" i="2"/>
  <c r="F31" i="2"/>
  <c r="F28" i="2"/>
  <c r="F24" i="2"/>
  <c r="F22" i="2"/>
  <c r="F19" i="2"/>
  <c r="F16" i="2"/>
  <c r="F13" i="2"/>
  <c r="F11" i="2"/>
  <c r="F6" i="2"/>
  <c r="F54" i="2"/>
  <c r="I4" i="1"/>
  <c r="F93" i="1"/>
  <c r="F90" i="1"/>
  <c r="F87" i="1"/>
  <c r="F83" i="1"/>
  <c r="F81" i="1"/>
  <c r="F77" i="1"/>
  <c r="F75" i="1"/>
  <c r="F73" i="1"/>
  <c r="F71" i="1"/>
  <c r="F69" i="1"/>
  <c r="F67" i="1"/>
  <c r="F62" i="1"/>
  <c r="F59" i="1"/>
  <c r="F57" i="1"/>
  <c r="F55" i="1"/>
  <c r="F52" i="1"/>
  <c r="F49" i="1"/>
  <c r="F47" i="1"/>
  <c r="F45" i="1"/>
  <c r="F38" i="1"/>
  <c r="F36" i="1"/>
  <c r="F27" i="1"/>
  <c r="F24" i="1"/>
  <c r="F22" i="1"/>
  <c r="F18" i="1"/>
  <c r="F15" i="1"/>
  <c r="F12" i="1"/>
  <c r="F8" i="1"/>
  <c r="F3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2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<sst xmlns="http://schemas.openxmlformats.org/spreadsheetml/2006/main" count="427" uniqueCount="11">
  <si>
    <t>reward_today</t>
  </si>
  <si>
    <t>future_reward</t>
  </si>
  <si>
    <t>delay</t>
  </si>
  <si>
    <t>key_resp.keys</t>
  </si>
  <si>
    <t>t</t>
  </si>
  <si>
    <t>l</t>
  </si>
  <si>
    <t>K</t>
  </si>
  <si>
    <t>Geomean</t>
  </si>
  <si>
    <t>K value</t>
  </si>
  <si>
    <t xml:space="preserve">Participants </t>
  </si>
  <si>
    <r>
      <t>k = (A/V − 1) / D</t>
    </r>
    <r>
      <rPr>
        <sz val="11"/>
        <color theme="1"/>
        <rFont val="Aptos Narrow"/>
        <family val="2"/>
        <scheme val="minor"/>
      </rPr>
      <t>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</si>
</sst>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2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B2040-41B6-4917-BBEB-29D6E5D1312C}">
  <dimension ref="A1:I100"/>
  <sheetViews>
    <sheetView workbookViewId="0">
      <selection activeCell="I9" sqref="I9"/>
    </sheetView>
  </sheetViews>
  <sheetFormatPr defaultRowHeight="14.5" x14ac:dyDescent="0.35"/>
  <cols>
    <col min="1" max="1" width="15.1796875" customWidth="1"/>
    <col min="2" max="2" width="15" customWidth="1"/>
    <col min="3" max="3" width="10.7265625" customWidth="1"/>
    <col min="4" max="4" width="12.7265625" customWidth="1"/>
    <col min="5" max="5" width="9.6328125" customWidth="1"/>
    <col min="7" max="7" width="5.81640625" customWidth="1"/>
    <col min="8" max="8" width="6.90625" customWidth="1"/>
    <col min="9" max="9" width="13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4" t="s">
        <v>7</v>
      </c>
    </row>
    <row r="2" spans="1:9" x14ac:dyDescent="0.35">
      <c r="A2" s="1">
        <v>78</v>
      </c>
      <c r="B2" s="1">
        <v>80</v>
      </c>
      <c r="C2" s="1">
        <v>162</v>
      </c>
      <c r="D2" s="2" t="s">
        <v>4</v>
      </c>
      <c r="E2" s="2">
        <f t="shared" ref="E2:E65" si="0">((B2/A2)-1)/C2</f>
        <v>1.5827793605571326E-4</v>
      </c>
      <c r="F2" s="1"/>
    </row>
    <row r="3" spans="1:9" x14ac:dyDescent="0.35">
      <c r="A3" s="1">
        <v>11</v>
      </c>
      <c r="B3" s="1">
        <v>30</v>
      </c>
      <c r="C3" s="1">
        <v>7</v>
      </c>
      <c r="D3" s="2" t="s">
        <v>5</v>
      </c>
      <c r="E3" s="2">
        <f t="shared" si="0"/>
        <v>0.24675324675324672</v>
      </c>
      <c r="F3" s="1">
        <f>GEOMEAN(E2:E3)</f>
        <v>6.2494475444754335E-3</v>
      </c>
    </row>
    <row r="4" spans="1:9" x14ac:dyDescent="0.35">
      <c r="A4" s="1">
        <v>67</v>
      </c>
      <c r="B4" s="1">
        <v>75</v>
      </c>
      <c r="C4" s="1">
        <v>119</v>
      </c>
      <c r="D4" s="1" t="s">
        <v>4</v>
      </c>
      <c r="E4" s="1">
        <f t="shared" si="0"/>
        <v>1.0033864291985443E-3</v>
      </c>
      <c r="F4" s="1"/>
      <c r="H4" s="4" t="s">
        <v>8</v>
      </c>
      <c r="I4" s="1">
        <f>AVERAGE(F2:F100)</f>
        <v>2.3434087561192599E-2</v>
      </c>
    </row>
    <row r="5" spans="1:9" x14ac:dyDescent="0.35">
      <c r="A5" s="1">
        <v>27</v>
      </c>
      <c r="B5" s="1">
        <v>50</v>
      </c>
      <c r="C5" s="1">
        <v>21</v>
      </c>
      <c r="D5" s="1" t="s">
        <v>4</v>
      </c>
      <c r="E5" s="1">
        <f t="shared" si="0"/>
        <v>4.0564373897707229E-2</v>
      </c>
      <c r="F5" s="1"/>
    </row>
    <row r="6" spans="1:9" x14ac:dyDescent="0.35">
      <c r="A6" s="1">
        <v>40</v>
      </c>
      <c r="B6" s="1">
        <v>55</v>
      </c>
      <c r="C6" s="1">
        <v>62</v>
      </c>
      <c r="D6" s="1" t="s">
        <v>4</v>
      </c>
      <c r="E6" s="1">
        <f t="shared" si="0"/>
        <v>6.0483870967741934E-3</v>
      </c>
      <c r="F6" s="1"/>
    </row>
    <row r="7" spans="1:9" x14ac:dyDescent="0.35">
      <c r="A7" s="1">
        <v>49</v>
      </c>
      <c r="B7" s="1">
        <v>60</v>
      </c>
      <c r="C7" s="1">
        <v>89</v>
      </c>
      <c r="D7" s="2" t="s">
        <v>4</v>
      </c>
      <c r="E7" s="2">
        <f t="shared" si="0"/>
        <v>2.522357257509746E-3</v>
      </c>
      <c r="F7" s="1"/>
    </row>
    <row r="8" spans="1:9" x14ac:dyDescent="0.35">
      <c r="A8" s="1">
        <v>15</v>
      </c>
      <c r="B8" s="1">
        <v>35</v>
      </c>
      <c r="C8" s="1">
        <v>13</v>
      </c>
      <c r="D8" s="2" t="s">
        <v>5</v>
      </c>
      <c r="E8" s="2">
        <f t="shared" si="0"/>
        <v>0.10256410256410257</v>
      </c>
      <c r="F8" s="1">
        <f>GEOMEAN(E7:E8)</f>
        <v>1.6084256540559717E-2</v>
      </c>
    </row>
    <row r="9" spans="1:9" x14ac:dyDescent="0.35">
      <c r="A9" s="1">
        <v>40</v>
      </c>
      <c r="B9" s="1">
        <v>55</v>
      </c>
      <c r="C9" s="1">
        <v>62</v>
      </c>
      <c r="D9" s="1" t="s">
        <v>4</v>
      </c>
      <c r="E9" s="1">
        <f t="shared" si="0"/>
        <v>6.0483870967741934E-3</v>
      </c>
      <c r="F9" s="1"/>
    </row>
    <row r="10" spans="1:9" x14ac:dyDescent="0.35">
      <c r="A10" s="1">
        <v>67</v>
      </c>
      <c r="B10" s="1">
        <v>75</v>
      </c>
      <c r="C10" s="1">
        <v>119</v>
      </c>
      <c r="D10" s="1" t="s">
        <v>4</v>
      </c>
      <c r="E10" s="1">
        <f t="shared" si="0"/>
        <v>1.0033864291985443E-3</v>
      </c>
      <c r="F10" s="1"/>
    </row>
    <row r="11" spans="1:9" x14ac:dyDescent="0.35">
      <c r="A11" s="1">
        <v>78</v>
      </c>
      <c r="B11" s="1">
        <v>80</v>
      </c>
      <c r="C11" s="1">
        <v>162</v>
      </c>
      <c r="D11" s="2" t="s">
        <v>4</v>
      </c>
      <c r="E11" s="2">
        <f t="shared" si="0"/>
        <v>1.5827793605571326E-4</v>
      </c>
      <c r="F11" s="1"/>
    </row>
    <row r="12" spans="1:9" x14ac:dyDescent="0.35">
      <c r="A12" s="1">
        <v>11</v>
      </c>
      <c r="B12" s="1">
        <v>30</v>
      </c>
      <c r="C12" s="1">
        <v>7</v>
      </c>
      <c r="D12" s="2" t="s">
        <v>5</v>
      </c>
      <c r="E12" s="2">
        <f t="shared" si="0"/>
        <v>0.24675324675324672</v>
      </c>
      <c r="F12" s="1">
        <f>GEOMEAN(E11:E12)</f>
        <v>6.2494475444754335E-3</v>
      </c>
    </row>
    <row r="13" spans="1:9" x14ac:dyDescent="0.35">
      <c r="A13" s="1">
        <v>27</v>
      </c>
      <c r="B13" s="1">
        <v>50</v>
      </c>
      <c r="C13" s="1">
        <v>21</v>
      </c>
      <c r="D13" s="1" t="s">
        <v>4</v>
      </c>
      <c r="E13" s="1">
        <f t="shared" si="0"/>
        <v>4.0564373897707229E-2</v>
      </c>
      <c r="F13" s="1"/>
    </row>
    <row r="14" spans="1:9" x14ac:dyDescent="0.35">
      <c r="A14" s="1">
        <v>49</v>
      </c>
      <c r="B14" s="1">
        <v>60</v>
      </c>
      <c r="C14" s="1">
        <v>89</v>
      </c>
      <c r="D14" s="2" t="s">
        <v>4</v>
      </c>
      <c r="E14" s="2">
        <f t="shared" si="0"/>
        <v>2.522357257509746E-3</v>
      </c>
      <c r="F14" s="1"/>
    </row>
    <row r="15" spans="1:9" x14ac:dyDescent="0.35">
      <c r="A15" s="1">
        <v>15</v>
      </c>
      <c r="B15" s="1">
        <v>35</v>
      </c>
      <c r="C15" s="1">
        <v>13</v>
      </c>
      <c r="D15" s="2" t="s">
        <v>5</v>
      </c>
      <c r="E15" s="2">
        <f t="shared" si="0"/>
        <v>0.10256410256410257</v>
      </c>
      <c r="F15" s="1">
        <f>GEOMEAN(E14:E15)</f>
        <v>1.6084256540559717E-2</v>
      </c>
    </row>
    <row r="16" spans="1:9" x14ac:dyDescent="0.35">
      <c r="A16" s="1">
        <v>15</v>
      </c>
      <c r="B16" s="1">
        <v>35</v>
      </c>
      <c r="C16" s="1">
        <v>13</v>
      </c>
      <c r="D16" s="1" t="s">
        <v>5</v>
      </c>
      <c r="E16" s="1">
        <f t="shared" si="0"/>
        <v>0.10256410256410257</v>
      </c>
      <c r="F16" s="1"/>
    </row>
    <row r="17" spans="1:6" x14ac:dyDescent="0.35">
      <c r="A17" s="1">
        <v>27</v>
      </c>
      <c r="B17" s="1">
        <v>50</v>
      </c>
      <c r="C17" s="1">
        <v>21</v>
      </c>
      <c r="D17" s="2" t="s">
        <v>4</v>
      </c>
      <c r="E17" s="2">
        <f t="shared" si="0"/>
        <v>4.0564373897707229E-2</v>
      </c>
      <c r="F17" s="1"/>
    </row>
    <row r="18" spans="1:6" x14ac:dyDescent="0.35">
      <c r="A18" s="1">
        <v>40</v>
      </c>
      <c r="B18" s="1">
        <v>55</v>
      </c>
      <c r="C18" s="1">
        <v>62</v>
      </c>
      <c r="D18" s="2" t="s">
        <v>5</v>
      </c>
      <c r="E18" s="2">
        <f t="shared" si="0"/>
        <v>6.0483870967741934E-3</v>
      </c>
      <c r="F18" s="1">
        <f>GEOMEAN(E17:E18)</f>
        <v>1.5663621409866119E-2</v>
      </c>
    </row>
    <row r="19" spans="1:6" x14ac:dyDescent="0.35">
      <c r="A19" s="1">
        <v>67</v>
      </c>
      <c r="B19" s="1">
        <v>75</v>
      </c>
      <c r="C19" s="1">
        <v>119</v>
      </c>
      <c r="D19" s="1" t="s">
        <v>5</v>
      </c>
      <c r="E19" s="1">
        <f t="shared" si="0"/>
        <v>1.0033864291985443E-3</v>
      </c>
      <c r="F19" s="1"/>
    </row>
    <row r="20" spans="1:6" x14ac:dyDescent="0.35">
      <c r="A20" s="1">
        <v>49</v>
      </c>
      <c r="B20" s="1">
        <v>60</v>
      </c>
      <c r="C20" s="1">
        <v>89</v>
      </c>
      <c r="D20" s="1" t="s">
        <v>5</v>
      </c>
      <c r="E20" s="1">
        <f t="shared" si="0"/>
        <v>2.522357257509746E-3</v>
      </c>
      <c r="F20" s="1"/>
    </row>
    <row r="21" spans="1:6" x14ac:dyDescent="0.35">
      <c r="A21" s="1">
        <v>78</v>
      </c>
      <c r="B21" s="1">
        <v>80</v>
      </c>
      <c r="C21" s="1">
        <v>162</v>
      </c>
      <c r="D21" s="2" t="s">
        <v>4</v>
      </c>
      <c r="E21" s="2">
        <f t="shared" si="0"/>
        <v>1.5827793605571326E-4</v>
      </c>
      <c r="F21" s="1"/>
    </row>
    <row r="22" spans="1:6" x14ac:dyDescent="0.35">
      <c r="A22" s="1">
        <v>11</v>
      </c>
      <c r="B22" s="1">
        <v>30</v>
      </c>
      <c r="C22" s="1">
        <v>7</v>
      </c>
      <c r="D22" s="2" t="s">
        <v>5</v>
      </c>
      <c r="E22" s="2">
        <f t="shared" si="0"/>
        <v>0.24675324675324672</v>
      </c>
      <c r="F22" s="1">
        <f>GEOMEAN(E21:E22)</f>
        <v>6.2494475444754335E-3</v>
      </c>
    </row>
    <row r="23" spans="1:6" x14ac:dyDescent="0.35">
      <c r="A23" s="1">
        <v>78</v>
      </c>
      <c r="B23" s="1">
        <v>80</v>
      </c>
      <c r="C23" s="1">
        <v>162</v>
      </c>
      <c r="D23" s="2" t="s">
        <v>4</v>
      </c>
      <c r="E23" s="2">
        <f t="shared" si="0"/>
        <v>1.5827793605571326E-4</v>
      </c>
      <c r="F23" s="1"/>
    </row>
    <row r="24" spans="1:6" x14ac:dyDescent="0.35">
      <c r="A24" s="1">
        <v>15</v>
      </c>
      <c r="B24" s="1">
        <v>35</v>
      </c>
      <c r="C24" s="1">
        <v>13</v>
      </c>
      <c r="D24" s="2" t="s">
        <v>5</v>
      </c>
      <c r="E24" s="2">
        <f t="shared" si="0"/>
        <v>0.10256410256410257</v>
      </c>
      <c r="F24" s="1">
        <f>GEOMEAN(E23:E24)</f>
        <v>4.0290984682994089E-3</v>
      </c>
    </row>
    <row r="25" spans="1:6" x14ac:dyDescent="0.35">
      <c r="A25" s="1">
        <v>11</v>
      </c>
      <c r="B25" s="1">
        <v>30</v>
      </c>
      <c r="C25" s="1">
        <v>7</v>
      </c>
      <c r="D25" s="1" t="s">
        <v>4</v>
      </c>
      <c r="E25" s="1">
        <f t="shared" si="0"/>
        <v>0.24675324675324672</v>
      </c>
      <c r="F25" s="1"/>
    </row>
    <row r="26" spans="1:6" x14ac:dyDescent="0.35">
      <c r="A26" s="1">
        <v>40</v>
      </c>
      <c r="B26" s="1">
        <v>55</v>
      </c>
      <c r="C26" s="1">
        <v>62</v>
      </c>
      <c r="D26" s="2" t="s">
        <v>4</v>
      </c>
      <c r="E26" s="2">
        <f t="shared" si="0"/>
        <v>6.0483870967741934E-3</v>
      </c>
      <c r="F26" s="1"/>
    </row>
    <row r="27" spans="1:6" x14ac:dyDescent="0.35">
      <c r="A27" s="1">
        <v>27</v>
      </c>
      <c r="B27" s="1">
        <v>50</v>
      </c>
      <c r="C27" s="1">
        <v>21</v>
      </c>
      <c r="D27" s="2" t="s">
        <v>5</v>
      </c>
      <c r="E27" s="2">
        <f t="shared" si="0"/>
        <v>4.0564373897707229E-2</v>
      </c>
      <c r="F27" s="1">
        <f>GEOMEAN(E26:E27)</f>
        <v>1.5663621409866119E-2</v>
      </c>
    </row>
    <row r="28" spans="1:6" x14ac:dyDescent="0.35">
      <c r="A28" s="1">
        <v>67</v>
      </c>
      <c r="B28" s="1">
        <v>75</v>
      </c>
      <c r="C28" s="1">
        <v>119</v>
      </c>
      <c r="D28" s="1" t="s">
        <v>4</v>
      </c>
      <c r="E28" s="1">
        <f t="shared" si="0"/>
        <v>1.0033864291985443E-3</v>
      </c>
      <c r="F28" s="1"/>
    </row>
    <row r="29" spans="1:6" x14ac:dyDescent="0.35">
      <c r="A29" s="1">
        <v>49</v>
      </c>
      <c r="B29" s="1">
        <v>60</v>
      </c>
      <c r="C29" s="1">
        <v>89</v>
      </c>
      <c r="D29" s="1" t="s">
        <v>4</v>
      </c>
      <c r="E29" s="1">
        <f t="shared" si="0"/>
        <v>2.522357257509746E-3</v>
      </c>
      <c r="F29" s="1"/>
    </row>
    <row r="30" spans="1:6" x14ac:dyDescent="0.35">
      <c r="A30" s="1">
        <v>27</v>
      </c>
      <c r="B30" s="1">
        <v>50</v>
      </c>
      <c r="C30" s="1">
        <v>21</v>
      </c>
      <c r="D30" s="1" t="s">
        <v>4</v>
      </c>
      <c r="E30" s="1">
        <f t="shared" si="0"/>
        <v>4.0564373897707229E-2</v>
      </c>
      <c r="F30" s="1"/>
    </row>
    <row r="31" spans="1:6" x14ac:dyDescent="0.35">
      <c r="A31" s="1">
        <v>40</v>
      </c>
      <c r="B31" s="1">
        <v>55</v>
      </c>
      <c r="C31" s="1">
        <v>62</v>
      </c>
      <c r="D31" s="1" t="s">
        <v>4</v>
      </c>
      <c r="E31" s="1">
        <f t="shared" si="0"/>
        <v>6.0483870967741934E-3</v>
      </c>
      <c r="F31" s="1"/>
    </row>
    <row r="32" spans="1:6" x14ac:dyDescent="0.35">
      <c r="A32" s="1">
        <v>78</v>
      </c>
      <c r="B32" s="1">
        <v>80</v>
      </c>
      <c r="C32" s="1">
        <v>162</v>
      </c>
      <c r="D32" s="1" t="s">
        <v>4</v>
      </c>
      <c r="E32" s="1">
        <f t="shared" si="0"/>
        <v>1.5827793605571326E-4</v>
      </c>
      <c r="F32" s="1"/>
    </row>
    <row r="33" spans="1:6" x14ac:dyDescent="0.35">
      <c r="A33" s="1">
        <v>11</v>
      </c>
      <c r="B33" s="1">
        <v>30</v>
      </c>
      <c r="C33" s="1">
        <v>7</v>
      </c>
      <c r="D33" s="1" t="s">
        <v>4</v>
      </c>
      <c r="E33" s="1">
        <f t="shared" si="0"/>
        <v>0.24675324675324672</v>
      </c>
      <c r="F33" s="1"/>
    </row>
    <row r="34" spans="1:6" x14ac:dyDescent="0.35">
      <c r="A34" s="1">
        <v>49</v>
      </c>
      <c r="B34" s="1">
        <v>60</v>
      </c>
      <c r="C34" s="1">
        <v>89</v>
      </c>
      <c r="D34" s="1" t="s">
        <v>4</v>
      </c>
      <c r="E34" s="1">
        <f t="shared" si="0"/>
        <v>2.522357257509746E-3</v>
      </c>
      <c r="F34" s="1"/>
    </row>
    <row r="35" spans="1:6" x14ac:dyDescent="0.35">
      <c r="A35" s="1">
        <v>67</v>
      </c>
      <c r="B35" s="1">
        <v>75</v>
      </c>
      <c r="C35" s="1">
        <v>119</v>
      </c>
      <c r="D35" s="2" t="s">
        <v>4</v>
      </c>
      <c r="E35" s="2">
        <f t="shared" si="0"/>
        <v>1.0033864291985443E-3</v>
      </c>
      <c r="F35" s="1"/>
    </row>
    <row r="36" spans="1:6" x14ac:dyDescent="0.35">
      <c r="A36" s="1">
        <v>15</v>
      </c>
      <c r="B36" s="1">
        <v>35</v>
      </c>
      <c r="C36" s="1">
        <v>13</v>
      </c>
      <c r="D36" s="2" t="s">
        <v>5</v>
      </c>
      <c r="E36" s="2">
        <f t="shared" si="0"/>
        <v>0.10256410256410257</v>
      </c>
      <c r="F36" s="1">
        <f>GEOMEAN(E35:E36)</f>
        <v>1.0144527028686363E-2</v>
      </c>
    </row>
    <row r="37" spans="1:6" x14ac:dyDescent="0.35">
      <c r="A37" s="1">
        <v>49</v>
      </c>
      <c r="B37" s="1">
        <v>60</v>
      </c>
      <c r="C37" s="1">
        <v>89</v>
      </c>
      <c r="D37" s="2" t="s">
        <v>4</v>
      </c>
      <c r="E37" s="2">
        <f t="shared" si="0"/>
        <v>2.522357257509746E-3</v>
      </c>
      <c r="F37" s="1"/>
    </row>
    <row r="38" spans="1:6" x14ac:dyDescent="0.35">
      <c r="A38" s="1">
        <v>15</v>
      </c>
      <c r="B38" s="1">
        <v>35</v>
      </c>
      <c r="C38" s="1">
        <v>13</v>
      </c>
      <c r="D38" s="2" t="s">
        <v>5</v>
      </c>
      <c r="E38" s="2">
        <f t="shared" si="0"/>
        <v>0.10256410256410257</v>
      </c>
      <c r="F38" s="1">
        <f>GEOMEAN(E37:E38)</f>
        <v>1.6084256540559717E-2</v>
      </c>
    </row>
    <row r="39" spans="1:6" x14ac:dyDescent="0.35">
      <c r="A39" s="1">
        <v>11</v>
      </c>
      <c r="B39" s="1">
        <v>30</v>
      </c>
      <c r="C39" s="1">
        <v>7</v>
      </c>
      <c r="D39" s="1" t="s">
        <v>5</v>
      </c>
      <c r="E39" s="1">
        <f t="shared" si="0"/>
        <v>0.24675324675324672</v>
      </c>
      <c r="F39" s="1"/>
    </row>
    <row r="40" spans="1:6" x14ac:dyDescent="0.35">
      <c r="A40" s="1">
        <v>40</v>
      </c>
      <c r="B40" s="1">
        <v>55</v>
      </c>
      <c r="C40" s="1">
        <v>62</v>
      </c>
      <c r="D40" s="1" t="s">
        <v>4</v>
      </c>
      <c r="E40" s="1">
        <f t="shared" si="0"/>
        <v>6.0483870967741934E-3</v>
      </c>
      <c r="F40" s="1"/>
    </row>
    <row r="41" spans="1:6" x14ac:dyDescent="0.35">
      <c r="A41" s="1">
        <v>78</v>
      </c>
      <c r="B41" s="1">
        <v>80</v>
      </c>
      <c r="C41" s="1">
        <v>162</v>
      </c>
      <c r="D41" s="1" t="s">
        <v>4</v>
      </c>
      <c r="E41" s="1">
        <f t="shared" si="0"/>
        <v>1.5827793605571326E-4</v>
      </c>
      <c r="F41" s="1"/>
    </row>
    <row r="42" spans="1:6" x14ac:dyDescent="0.35">
      <c r="A42" s="1">
        <v>67</v>
      </c>
      <c r="B42" s="1">
        <v>75</v>
      </c>
      <c r="C42" s="1">
        <v>119</v>
      </c>
      <c r="D42" s="1" t="s">
        <v>4</v>
      </c>
      <c r="E42" s="1">
        <f t="shared" si="0"/>
        <v>1.0033864291985443E-3</v>
      </c>
      <c r="F42" s="1"/>
    </row>
    <row r="43" spans="1:6" x14ac:dyDescent="0.35">
      <c r="A43" s="1">
        <v>27</v>
      </c>
      <c r="B43" s="1">
        <v>50</v>
      </c>
      <c r="C43" s="1">
        <v>21</v>
      </c>
      <c r="D43" s="1" t="s">
        <v>4</v>
      </c>
      <c r="E43" s="1">
        <f t="shared" si="0"/>
        <v>4.0564373897707229E-2</v>
      </c>
      <c r="F43" s="1"/>
    </row>
    <row r="44" spans="1:6" x14ac:dyDescent="0.35">
      <c r="A44" s="1">
        <v>78</v>
      </c>
      <c r="B44" s="1">
        <v>80</v>
      </c>
      <c r="C44" s="1">
        <v>162</v>
      </c>
      <c r="D44" s="2" t="s">
        <v>4</v>
      </c>
      <c r="E44" s="2">
        <f t="shared" si="0"/>
        <v>1.5827793605571326E-4</v>
      </c>
      <c r="F44" s="1"/>
    </row>
    <row r="45" spans="1:6" x14ac:dyDescent="0.35">
      <c r="A45" s="1">
        <v>40</v>
      </c>
      <c r="B45" s="1">
        <v>55</v>
      </c>
      <c r="C45" s="1">
        <v>62</v>
      </c>
      <c r="D45" s="2" t="s">
        <v>5</v>
      </c>
      <c r="E45" s="2">
        <f t="shared" si="0"/>
        <v>6.0483870967741934E-3</v>
      </c>
      <c r="F45" s="1">
        <f>GEOMEAN(E44:E45)</f>
        <v>9.7843049121714679E-4</v>
      </c>
    </row>
    <row r="46" spans="1:6" x14ac:dyDescent="0.35">
      <c r="A46" s="1">
        <v>15</v>
      </c>
      <c r="B46" s="1">
        <v>35</v>
      </c>
      <c r="C46" s="1">
        <v>13</v>
      </c>
      <c r="D46" s="2" t="s">
        <v>4</v>
      </c>
      <c r="E46" s="2">
        <f t="shared" si="0"/>
        <v>0.10256410256410257</v>
      </c>
      <c r="F46" s="1"/>
    </row>
    <row r="47" spans="1:6" x14ac:dyDescent="0.35">
      <c r="A47" s="1">
        <v>11</v>
      </c>
      <c r="B47" s="1">
        <v>30</v>
      </c>
      <c r="C47" s="1">
        <v>7</v>
      </c>
      <c r="D47" s="2" t="s">
        <v>5</v>
      </c>
      <c r="E47" s="2">
        <f t="shared" si="0"/>
        <v>0.24675324675324672</v>
      </c>
      <c r="F47" s="1">
        <f>GEOMEAN(E46:E47)</f>
        <v>0.15908496254525539</v>
      </c>
    </row>
    <row r="48" spans="1:6" x14ac:dyDescent="0.35">
      <c r="A48" s="1">
        <v>27</v>
      </c>
      <c r="B48" s="1">
        <v>50</v>
      </c>
      <c r="C48" s="1">
        <v>21</v>
      </c>
      <c r="D48" s="2" t="s">
        <v>4</v>
      </c>
      <c r="E48" s="2">
        <f t="shared" si="0"/>
        <v>4.0564373897707229E-2</v>
      </c>
      <c r="F48" s="1"/>
    </row>
    <row r="49" spans="1:6" x14ac:dyDescent="0.35">
      <c r="A49" s="1">
        <v>67</v>
      </c>
      <c r="B49" s="1">
        <v>75</v>
      </c>
      <c r="C49" s="1">
        <v>119</v>
      </c>
      <c r="D49" s="2" t="s">
        <v>5</v>
      </c>
      <c r="E49" s="2">
        <f t="shared" si="0"/>
        <v>1.0033864291985443E-3</v>
      </c>
      <c r="F49" s="1">
        <f>GEOMEAN(E48:E49)</f>
        <v>6.3797917111685625E-3</v>
      </c>
    </row>
    <row r="50" spans="1:6" x14ac:dyDescent="0.35">
      <c r="A50" s="1">
        <v>49</v>
      </c>
      <c r="B50" s="1">
        <v>60</v>
      </c>
      <c r="C50" s="1">
        <v>89</v>
      </c>
      <c r="D50" s="1" t="s">
        <v>4</v>
      </c>
      <c r="E50" s="1">
        <f t="shared" si="0"/>
        <v>2.522357257509746E-3</v>
      </c>
      <c r="F50" s="1"/>
    </row>
    <row r="51" spans="1:6" x14ac:dyDescent="0.35">
      <c r="A51" s="1">
        <v>27</v>
      </c>
      <c r="B51" s="1">
        <v>50</v>
      </c>
      <c r="C51" s="1">
        <v>21</v>
      </c>
      <c r="D51" s="2" t="s">
        <v>4</v>
      </c>
      <c r="E51" s="2">
        <f t="shared" si="0"/>
        <v>4.0564373897707229E-2</v>
      </c>
      <c r="F51" s="1"/>
    </row>
    <row r="52" spans="1:6" x14ac:dyDescent="0.35">
      <c r="A52" s="1">
        <v>15</v>
      </c>
      <c r="B52" s="1">
        <v>35</v>
      </c>
      <c r="C52" s="1">
        <v>13</v>
      </c>
      <c r="D52" s="2" t="s">
        <v>5</v>
      </c>
      <c r="E52" s="2">
        <f t="shared" si="0"/>
        <v>0.10256410256410257</v>
      </c>
      <c r="F52" s="1">
        <f>GEOMEAN(E51:E52)</f>
        <v>6.4501539554440476E-2</v>
      </c>
    </row>
    <row r="53" spans="1:6" x14ac:dyDescent="0.35">
      <c r="A53" s="1">
        <v>49</v>
      </c>
      <c r="B53" s="1">
        <v>60</v>
      </c>
      <c r="C53" s="1">
        <v>89</v>
      </c>
      <c r="D53" s="1" t="s">
        <v>4</v>
      </c>
      <c r="E53" s="1">
        <f t="shared" si="0"/>
        <v>2.522357257509746E-3</v>
      </c>
      <c r="F53" s="1"/>
    </row>
    <row r="54" spans="1:6" x14ac:dyDescent="0.35">
      <c r="A54" s="1">
        <v>78</v>
      </c>
      <c r="B54" s="1">
        <v>80</v>
      </c>
      <c r="C54" s="1">
        <v>162</v>
      </c>
      <c r="D54" s="2" t="s">
        <v>4</v>
      </c>
      <c r="E54" s="2">
        <f t="shared" si="0"/>
        <v>1.5827793605571326E-4</v>
      </c>
      <c r="F54" s="1"/>
    </row>
    <row r="55" spans="1:6" x14ac:dyDescent="0.35">
      <c r="A55" s="1">
        <v>67</v>
      </c>
      <c r="B55" s="1">
        <v>75</v>
      </c>
      <c r="C55" s="1">
        <v>119</v>
      </c>
      <c r="D55" s="2" t="s">
        <v>5</v>
      </c>
      <c r="E55" s="2">
        <f t="shared" si="0"/>
        <v>1.0033864291985443E-3</v>
      </c>
      <c r="F55" s="1">
        <f>GEOMEAN(E54:E55)</f>
        <v>3.9851465855079618E-4</v>
      </c>
    </row>
    <row r="56" spans="1:6" x14ac:dyDescent="0.35">
      <c r="A56" s="1">
        <v>40</v>
      </c>
      <c r="B56" s="1">
        <v>55</v>
      </c>
      <c r="C56" s="1">
        <v>62</v>
      </c>
      <c r="D56" s="2" t="s">
        <v>4</v>
      </c>
      <c r="E56" s="2">
        <f t="shared" si="0"/>
        <v>6.0483870967741934E-3</v>
      </c>
      <c r="F56" s="1"/>
    </row>
    <row r="57" spans="1:6" x14ac:dyDescent="0.35">
      <c r="A57" s="1">
        <v>11</v>
      </c>
      <c r="B57" s="1">
        <v>30</v>
      </c>
      <c r="C57" s="1">
        <v>7</v>
      </c>
      <c r="D57" s="2" t="s">
        <v>5</v>
      </c>
      <c r="E57" s="2">
        <f t="shared" si="0"/>
        <v>0.24675324675324672</v>
      </c>
      <c r="F57" s="1">
        <f>GEOMEAN(E56:E57)</f>
        <v>3.8632358894448528E-2</v>
      </c>
    </row>
    <row r="58" spans="1:6" x14ac:dyDescent="0.35">
      <c r="A58" s="1">
        <v>49</v>
      </c>
      <c r="B58" s="1">
        <v>60</v>
      </c>
      <c r="C58" s="1">
        <v>89</v>
      </c>
      <c r="D58" s="2" t="s">
        <v>4</v>
      </c>
      <c r="E58" s="2">
        <f t="shared" si="0"/>
        <v>2.522357257509746E-3</v>
      </c>
      <c r="F58" s="1"/>
    </row>
    <row r="59" spans="1:6" x14ac:dyDescent="0.35">
      <c r="A59" s="1">
        <v>15</v>
      </c>
      <c r="B59" s="1">
        <v>35</v>
      </c>
      <c r="C59" s="1">
        <v>13</v>
      </c>
      <c r="D59" s="2" t="s">
        <v>5</v>
      </c>
      <c r="E59" s="2">
        <f t="shared" si="0"/>
        <v>0.10256410256410257</v>
      </c>
      <c r="F59" s="1">
        <f>GEOMEAN(E58:E59)</f>
        <v>1.6084256540559717E-2</v>
      </c>
    </row>
    <row r="60" spans="1:6" x14ac:dyDescent="0.35">
      <c r="A60" s="1">
        <v>67</v>
      </c>
      <c r="B60" s="1">
        <v>75</v>
      </c>
      <c r="C60" s="1">
        <v>119</v>
      </c>
      <c r="D60" s="1" t="s">
        <v>4</v>
      </c>
      <c r="E60" s="1">
        <f t="shared" si="0"/>
        <v>1.0033864291985443E-3</v>
      </c>
      <c r="F60" s="1"/>
    </row>
    <row r="61" spans="1:6" x14ac:dyDescent="0.35">
      <c r="A61" s="1">
        <v>78</v>
      </c>
      <c r="B61" s="1">
        <v>80</v>
      </c>
      <c r="C61" s="1">
        <v>162</v>
      </c>
      <c r="D61" s="2" t="s">
        <v>4</v>
      </c>
      <c r="E61" s="2">
        <f t="shared" si="0"/>
        <v>1.5827793605571326E-4</v>
      </c>
      <c r="F61" s="1"/>
    </row>
    <row r="62" spans="1:6" x14ac:dyDescent="0.35">
      <c r="A62" s="1">
        <v>40</v>
      </c>
      <c r="B62" s="1">
        <v>55</v>
      </c>
      <c r="C62" s="1">
        <v>62</v>
      </c>
      <c r="D62" s="2" t="s">
        <v>5</v>
      </c>
      <c r="E62" s="2">
        <f t="shared" si="0"/>
        <v>6.0483870967741934E-3</v>
      </c>
      <c r="F62" s="1">
        <f>GEOMEAN(E61:E62)</f>
        <v>9.7843049121714679E-4</v>
      </c>
    </row>
    <row r="63" spans="1:6" x14ac:dyDescent="0.35">
      <c r="A63" s="1">
        <v>27</v>
      </c>
      <c r="B63" s="1">
        <v>50</v>
      </c>
      <c r="C63" s="1">
        <v>21</v>
      </c>
      <c r="D63" s="1" t="s">
        <v>5</v>
      </c>
      <c r="E63" s="1">
        <f t="shared" si="0"/>
        <v>4.0564373897707229E-2</v>
      </c>
      <c r="F63" s="1"/>
    </row>
    <row r="64" spans="1:6" x14ac:dyDescent="0.35">
      <c r="A64" s="1">
        <v>11</v>
      </c>
      <c r="B64" s="1">
        <v>30</v>
      </c>
      <c r="C64" s="1">
        <v>7</v>
      </c>
      <c r="D64" s="1" t="s">
        <v>5</v>
      </c>
      <c r="E64" s="1">
        <f t="shared" si="0"/>
        <v>0.24675324675324672</v>
      </c>
      <c r="F64" s="1"/>
    </row>
    <row r="65" spans="1:6" x14ac:dyDescent="0.35">
      <c r="A65" s="1">
        <v>15</v>
      </c>
      <c r="B65" s="1">
        <v>35</v>
      </c>
      <c r="C65" s="1">
        <v>13</v>
      </c>
      <c r="D65" s="1" t="s">
        <v>5</v>
      </c>
      <c r="E65" s="1">
        <f t="shared" si="0"/>
        <v>0.10256410256410257</v>
      </c>
      <c r="F65" s="1"/>
    </row>
    <row r="66" spans="1:6" x14ac:dyDescent="0.35">
      <c r="A66" s="1">
        <v>49</v>
      </c>
      <c r="B66" s="1">
        <v>60</v>
      </c>
      <c r="C66" s="1">
        <v>89</v>
      </c>
      <c r="D66" s="2" t="s">
        <v>4</v>
      </c>
      <c r="E66" s="2">
        <f t="shared" ref="E66:E100" si="1">((B66/A66)-1)/C66</f>
        <v>2.522357257509746E-3</v>
      </c>
      <c r="F66" s="1"/>
    </row>
    <row r="67" spans="1:6" x14ac:dyDescent="0.35">
      <c r="A67" s="1">
        <v>11</v>
      </c>
      <c r="B67" s="1">
        <v>30</v>
      </c>
      <c r="C67" s="1">
        <v>7</v>
      </c>
      <c r="D67" s="2" t="s">
        <v>5</v>
      </c>
      <c r="E67" s="2">
        <f t="shared" si="1"/>
        <v>0.24675324675324672</v>
      </c>
      <c r="F67" s="1">
        <f>GEOMEAN(E66:E67)</f>
        <v>2.494794265590141E-2</v>
      </c>
    </row>
    <row r="68" spans="1:6" x14ac:dyDescent="0.35">
      <c r="A68" s="1">
        <v>67</v>
      </c>
      <c r="B68" s="1">
        <v>75</v>
      </c>
      <c r="C68" s="1">
        <v>119</v>
      </c>
      <c r="D68" s="2" t="s">
        <v>4</v>
      </c>
      <c r="E68" s="2">
        <f t="shared" si="1"/>
        <v>1.0033864291985443E-3</v>
      </c>
      <c r="F68" s="1"/>
    </row>
    <row r="69" spans="1:6" x14ac:dyDescent="0.35">
      <c r="A69" s="1">
        <v>27</v>
      </c>
      <c r="B69" s="1">
        <v>50</v>
      </c>
      <c r="C69" s="1">
        <v>21</v>
      </c>
      <c r="D69" s="2" t="s">
        <v>5</v>
      </c>
      <c r="E69" s="2">
        <f t="shared" si="1"/>
        <v>4.0564373897707229E-2</v>
      </c>
      <c r="F69" s="1">
        <f>GEOMEAN(E68:E69)</f>
        <v>6.3797917111685625E-3</v>
      </c>
    </row>
    <row r="70" spans="1:6" x14ac:dyDescent="0.35">
      <c r="A70" s="1">
        <v>78</v>
      </c>
      <c r="B70" s="1">
        <v>80</v>
      </c>
      <c r="C70" s="1">
        <v>162</v>
      </c>
      <c r="D70" s="2" t="s">
        <v>4</v>
      </c>
      <c r="E70" s="2">
        <f t="shared" si="1"/>
        <v>1.5827793605571326E-4</v>
      </c>
      <c r="F70" s="1"/>
    </row>
    <row r="71" spans="1:6" x14ac:dyDescent="0.35">
      <c r="A71" s="1">
        <v>40</v>
      </c>
      <c r="B71" s="1">
        <v>55</v>
      </c>
      <c r="C71" s="1">
        <v>62</v>
      </c>
      <c r="D71" s="2" t="s">
        <v>5</v>
      </c>
      <c r="E71" s="2">
        <f t="shared" si="1"/>
        <v>6.0483870967741934E-3</v>
      </c>
      <c r="F71" s="1">
        <f>GEOMEAN(E70:E71)</f>
        <v>9.7843049121714679E-4</v>
      </c>
    </row>
    <row r="72" spans="1:6" x14ac:dyDescent="0.35">
      <c r="A72" s="1">
        <v>40</v>
      </c>
      <c r="B72" s="1">
        <v>55</v>
      </c>
      <c r="C72" s="1">
        <v>62</v>
      </c>
      <c r="D72" s="2" t="s">
        <v>4</v>
      </c>
      <c r="E72" s="2">
        <f t="shared" si="1"/>
        <v>6.0483870967741934E-3</v>
      </c>
      <c r="F72" s="1"/>
    </row>
    <row r="73" spans="1:6" x14ac:dyDescent="0.35">
      <c r="A73" s="1">
        <v>67</v>
      </c>
      <c r="B73" s="1">
        <v>75</v>
      </c>
      <c r="C73" s="1">
        <v>119</v>
      </c>
      <c r="D73" s="2" t="s">
        <v>5</v>
      </c>
      <c r="E73" s="2">
        <f t="shared" si="1"/>
        <v>1.0033864291985443E-3</v>
      </c>
      <c r="F73" s="1">
        <f>GEOMEAN(E72:E73)</f>
        <v>2.4635075667516848E-3</v>
      </c>
    </row>
    <row r="74" spans="1:6" x14ac:dyDescent="0.35">
      <c r="A74" s="1">
        <v>27</v>
      </c>
      <c r="B74" s="1">
        <v>50</v>
      </c>
      <c r="C74" s="1">
        <v>21</v>
      </c>
      <c r="D74" s="2" t="s">
        <v>4</v>
      </c>
      <c r="E74" s="2">
        <f t="shared" si="1"/>
        <v>4.0564373897707229E-2</v>
      </c>
      <c r="F74" s="1"/>
    </row>
    <row r="75" spans="1:6" x14ac:dyDescent="0.35">
      <c r="A75" s="1">
        <v>11</v>
      </c>
      <c r="B75" s="1">
        <v>30</v>
      </c>
      <c r="C75" s="1">
        <v>7</v>
      </c>
      <c r="D75" s="2" t="s">
        <v>5</v>
      </c>
      <c r="E75" s="2">
        <f t="shared" si="1"/>
        <v>0.24675324675324672</v>
      </c>
      <c r="F75" s="1">
        <f>GEOMEAN(E74:E75)</f>
        <v>0.10004694379026234</v>
      </c>
    </row>
    <row r="76" spans="1:6" x14ac:dyDescent="0.35">
      <c r="A76" s="1">
        <v>78</v>
      </c>
      <c r="B76" s="1">
        <v>80</v>
      </c>
      <c r="C76" s="1">
        <v>162</v>
      </c>
      <c r="D76" s="2" t="s">
        <v>4</v>
      </c>
      <c r="E76" s="2">
        <f t="shared" si="1"/>
        <v>1.5827793605571326E-4</v>
      </c>
      <c r="F76" s="1"/>
    </row>
    <row r="77" spans="1:6" x14ac:dyDescent="0.35">
      <c r="A77" s="1">
        <v>15</v>
      </c>
      <c r="B77" s="1">
        <v>35</v>
      </c>
      <c r="C77" s="1">
        <v>13</v>
      </c>
      <c r="D77" s="2" t="s">
        <v>5</v>
      </c>
      <c r="E77" s="2">
        <f t="shared" si="1"/>
        <v>0.10256410256410257</v>
      </c>
      <c r="F77" s="1">
        <f>GEOMEAN(E76:E77)</f>
        <v>4.0290984682994089E-3</v>
      </c>
    </row>
    <row r="78" spans="1:6" x14ac:dyDescent="0.35">
      <c r="A78" s="1">
        <v>49</v>
      </c>
      <c r="B78" s="1">
        <v>60</v>
      </c>
      <c r="C78" s="1">
        <v>89</v>
      </c>
      <c r="D78" s="1" t="s">
        <v>4</v>
      </c>
      <c r="E78" s="1">
        <f t="shared" si="1"/>
        <v>2.522357257509746E-3</v>
      </c>
      <c r="F78" s="1"/>
    </row>
    <row r="79" spans="1:6" x14ac:dyDescent="0.35">
      <c r="A79" s="1">
        <v>67</v>
      </c>
      <c r="B79" s="1">
        <v>75</v>
      </c>
      <c r="C79" s="1">
        <v>119</v>
      </c>
      <c r="D79" s="1" t="s">
        <v>4</v>
      </c>
      <c r="E79" s="1">
        <f t="shared" si="1"/>
        <v>1.0033864291985443E-3</v>
      </c>
      <c r="F79" s="1"/>
    </row>
    <row r="80" spans="1:6" x14ac:dyDescent="0.35">
      <c r="A80" s="1">
        <v>49</v>
      </c>
      <c r="B80" s="1">
        <v>60</v>
      </c>
      <c r="C80" s="1">
        <v>89</v>
      </c>
      <c r="D80" s="2" t="s">
        <v>4</v>
      </c>
      <c r="E80" s="2">
        <f t="shared" si="1"/>
        <v>2.522357257509746E-3</v>
      </c>
      <c r="F80" s="1"/>
    </row>
    <row r="81" spans="1:6" x14ac:dyDescent="0.35">
      <c r="A81" s="1">
        <v>15</v>
      </c>
      <c r="B81" s="1">
        <v>35</v>
      </c>
      <c r="C81" s="1">
        <v>13</v>
      </c>
      <c r="D81" s="2" t="s">
        <v>5</v>
      </c>
      <c r="E81" s="2">
        <f t="shared" si="1"/>
        <v>0.10256410256410257</v>
      </c>
      <c r="F81" s="1">
        <f>GEOMEAN(E80:E81)</f>
        <v>1.6084256540559717E-2</v>
      </c>
    </row>
    <row r="82" spans="1:6" x14ac:dyDescent="0.35">
      <c r="A82" s="1">
        <v>11</v>
      </c>
      <c r="B82" s="1">
        <v>30</v>
      </c>
      <c r="C82" s="1">
        <v>7</v>
      </c>
      <c r="D82" s="2" t="s">
        <v>4</v>
      </c>
      <c r="E82" s="2">
        <f t="shared" si="1"/>
        <v>0.24675324675324672</v>
      </c>
      <c r="F82" s="1"/>
    </row>
    <row r="83" spans="1:6" x14ac:dyDescent="0.35">
      <c r="A83" s="1">
        <v>40</v>
      </c>
      <c r="B83" s="1">
        <v>55</v>
      </c>
      <c r="C83" s="1">
        <v>62</v>
      </c>
      <c r="D83" s="2" t="s">
        <v>5</v>
      </c>
      <c r="E83" s="2">
        <f t="shared" si="1"/>
        <v>6.0483870967741934E-3</v>
      </c>
      <c r="F83" s="1">
        <f>GEOMEAN(E82:E83)</f>
        <v>3.8632358894448528E-2</v>
      </c>
    </row>
    <row r="84" spans="1:6" x14ac:dyDescent="0.35">
      <c r="A84" s="1">
        <v>27</v>
      </c>
      <c r="B84" s="1">
        <v>50</v>
      </c>
      <c r="C84" s="1">
        <v>21</v>
      </c>
      <c r="D84" s="1" t="s">
        <v>5</v>
      </c>
      <c r="E84" s="1">
        <f t="shared" si="1"/>
        <v>4.0564373897707229E-2</v>
      </c>
      <c r="F84" s="1"/>
    </row>
    <row r="85" spans="1:6" x14ac:dyDescent="0.35">
      <c r="A85" s="1">
        <v>78</v>
      </c>
      <c r="B85" s="1">
        <v>80</v>
      </c>
      <c r="C85" s="1">
        <v>162</v>
      </c>
      <c r="D85" s="1" t="s">
        <v>4</v>
      </c>
      <c r="E85" s="1">
        <f t="shared" si="1"/>
        <v>1.5827793605571326E-4</v>
      </c>
      <c r="F85" s="1"/>
    </row>
    <row r="86" spans="1:6" x14ac:dyDescent="0.35">
      <c r="A86" s="1">
        <v>78</v>
      </c>
      <c r="B86" s="1">
        <v>80</v>
      </c>
      <c r="C86" s="1">
        <v>162</v>
      </c>
      <c r="D86" s="2" t="s">
        <v>4</v>
      </c>
      <c r="E86" s="2">
        <f t="shared" si="1"/>
        <v>1.5827793605571326E-4</v>
      </c>
      <c r="F86" s="1"/>
    </row>
    <row r="87" spans="1:6" x14ac:dyDescent="0.35">
      <c r="A87" s="1">
        <v>11</v>
      </c>
      <c r="B87" s="1">
        <v>30</v>
      </c>
      <c r="C87" s="1">
        <v>7</v>
      </c>
      <c r="D87" s="2" t="s">
        <v>5</v>
      </c>
      <c r="E87" s="2">
        <f t="shared" si="1"/>
        <v>0.24675324675324672</v>
      </c>
      <c r="F87" s="1">
        <f>GEOMEAN(E86:E87)</f>
        <v>6.2494475444754335E-3</v>
      </c>
    </row>
    <row r="88" spans="1:6" x14ac:dyDescent="0.35">
      <c r="A88" s="1">
        <v>49</v>
      </c>
      <c r="B88" s="1">
        <v>60</v>
      </c>
      <c r="C88" s="1">
        <v>89</v>
      </c>
      <c r="D88" s="1" t="s">
        <v>4</v>
      </c>
      <c r="E88" s="1">
        <f t="shared" si="1"/>
        <v>2.522357257509746E-3</v>
      </c>
      <c r="F88" s="1"/>
    </row>
    <row r="89" spans="1:6" x14ac:dyDescent="0.35">
      <c r="A89" s="1">
        <v>27</v>
      </c>
      <c r="B89" s="1">
        <v>50</v>
      </c>
      <c r="C89" s="1">
        <v>21</v>
      </c>
      <c r="D89" s="2" t="s">
        <v>4</v>
      </c>
      <c r="E89" s="2">
        <f t="shared" si="1"/>
        <v>4.0564373897707229E-2</v>
      </c>
      <c r="F89" s="1"/>
    </row>
    <row r="90" spans="1:6" x14ac:dyDescent="0.35">
      <c r="A90" s="1">
        <v>15</v>
      </c>
      <c r="B90" s="1">
        <v>35</v>
      </c>
      <c r="C90" s="1">
        <v>13</v>
      </c>
      <c r="D90" s="2" t="s">
        <v>5</v>
      </c>
      <c r="E90" s="2">
        <f t="shared" si="1"/>
        <v>0.10256410256410257</v>
      </c>
      <c r="F90" s="1">
        <f>GEOMEAN(E89:E90)</f>
        <v>6.4501539554440476E-2</v>
      </c>
    </row>
    <row r="91" spans="1:6" x14ac:dyDescent="0.35">
      <c r="A91" s="1">
        <v>40</v>
      </c>
      <c r="B91" s="1">
        <v>55</v>
      </c>
      <c r="C91" s="1">
        <v>62</v>
      </c>
      <c r="D91" s="1" t="s">
        <v>4</v>
      </c>
      <c r="E91" s="1">
        <f t="shared" si="1"/>
        <v>6.0483870967741934E-3</v>
      </c>
      <c r="F91" s="1"/>
    </row>
    <row r="92" spans="1:6" x14ac:dyDescent="0.35">
      <c r="A92" s="1">
        <v>67</v>
      </c>
      <c r="B92" s="1">
        <v>75</v>
      </c>
      <c r="C92" s="1">
        <v>119</v>
      </c>
      <c r="D92" s="2" t="s">
        <v>4</v>
      </c>
      <c r="E92" s="2">
        <f t="shared" si="1"/>
        <v>1.0033864291985443E-3</v>
      </c>
      <c r="F92" s="1"/>
    </row>
    <row r="93" spans="1:6" x14ac:dyDescent="0.35">
      <c r="A93" s="1">
        <v>11</v>
      </c>
      <c r="B93" s="1">
        <v>30</v>
      </c>
      <c r="C93" s="1">
        <v>7</v>
      </c>
      <c r="D93" s="2" t="s">
        <v>5</v>
      </c>
      <c r="E93" s="2">
        <f t="shared" si="1"/>
        <v>0.24675324675324672</v>
      </c>
      <c r="F93" s="1">
        <f>GEOMEAN(E92:E93)</f>
        <v>1.5734956598379531E-2</v>
      </c>
    </row>
    <row r="94" spans="1:6" x14ac:dyDescent="0.35">
      <c r="A94" s="1">
        <v>15</v>
      </c>
      <c r="B94" s="1">
        <v>35</v>
      </c>
      <c r="C94" s="1">
        <v>13</v>
      </c>
      <c r="D94" s="1" t="s">
        <v>5</v>
      </c>
      <c r="E94" s="1">
        <f t="shared" si="1"/>
        <v>0.10256410256410257</v>
      </c>
      <c r="F94" s="1"/>
    </row>
    <row r="95" spans="1:6" x14ac:dyDescent="0.35">
      <c r="A95" s="1">
        <v>27</v>
      </c>
      <c r="B95" s="1">
        <v>50</v>
      </c>
      <c r="C95" s="1">
        <v>21</v>
      </c>
      <c r="D95" s="1" t="s">
        <v>4</v>
      </c>
      <c r="E95" s="1">
        <f t="shared" si="1"/>
        <v>4.0564373897707229E-2</v>
      </c>
      <c r="F95" s="1"/>
    </row>
    <row r="96" spans="1:6" x14ac:dyDescent="0.35">
      <c r="A96" s="1">
        <v>49</v>
      </c>
      <c r="B96" s="1">
        <v>60</v>
      </c>
      <c r="C96" s="1">
        <v>89</v>
      </c>
      <c r="D96" s="1" t="s">
        <v>4</v>
      </c>
      <c r="E96" s="1">
        <f t="shared" si="1"/>
        <v>2.522357257509746E-3</v>
      </c>
      <c r="F96" s="1"/>
    </row>
    <row r="97" spans="1:6" x14ac:dyDescent="0.35">
      <c r="A97" s="1">
        <v>67</v>
      </c>
      <c r="B97" s="1">
        <v>75</v>
      </c>
      <c r="C97" s="1">
        <v>119</v>
      </c>
      <c r="D97" s="1" t="s">
        <v>4</v>
      </c>
      <c r="E97" s="1">
        <f t="shared" si="1"/>
        <v>1.0033864291985443E-3</v>
      </c>
      <c r="F97" s="1"/>
    </row>
    <row r="98" spans="1:6" x14ac:dyDescent="0.35">
      <c r="A98" s="1">
        <v>78</v>
      </c>
      <c r="B98" s="1">
        <v>80</v>
      </c>
      <c r="C98" s="1">
        <v>162</v>
      </c>
      <c r="D98" s="1" t="s">
        <v>4</v>
      </c>
      <c r="E98" s="1">
        <f t="shared" si="1"/>
        <v>1.5827793605571326E-4</v>
      </c>
      <c r="F98" s="1"/>
    </row>
    <row r="99" spans="1:6" x14ac:dyDescent="0.35">
      <c r="A99" s="1">
        <v>40</v>
      </c>
      <c r="B99" s="1">
        <v>55</v>
      </c>
      <c r="C99" s="1">
        <v>62</v>
      </c>
      <c r="D99" s="1" t="s">
        <v>4</v>
      </c>
      <c r="E99" s="1">
        <f t="shared" si="1"/>
        <v>6.0483870967741934E-3</v>
      </c>
      <c r="F99" s="1"/>
    </row>
    <row r="100" spans="1:6" x14ac:dyDescent="0.35">
      <c r="A100" s="1">
        <v>27</v>
      </c>
      <c r="B100" s="1">
        <v>50</v>
      </c>
      <c r="C100" s="1">
        <v>21</v>
      </c>
      <c r="D100" s="1" t="s">
        <v>4</v>
      </c>
      <c r="E100" s="1">
        <f t="shared" si="1"/>
        <v>4.0564373897707229E-2</v>
      </c>
      <c r="F1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D680D-7484-4B7B-8676-6A44E0449D8F}">
  <dimension ref="A1:I100"/>
  <sheetViews>
    <sheetView workbookViewId="0">
      <selection activeCell="F1" sqref="F1"/>
    </sheetView>
  </sheetViews>
  <sheetFormatPr defaultRowHeight="14.5" x14ac:dyDescent="0.35"/>
  <cols>
    <col min="1" max="1" width="11.7265625" customWidth="1"/>
    <col min="2" max="2" width="11.6328125" customWidth="1"/>
    <col min="4" max="4" width="12.1796875" customWidth="1"/>
    <col min="7" max="7" width="5.08984375" customWidth="1"/>
    <col min="8" max="8" width="7.7265625" customWidth="1"/>
    <col min="9" max="9" width="14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4" t="s">
        <v>7</v>
      </c>
    </row>
    <row r="2" spans="1:9" x14ac:dyDescent="0.35">
      <c r="A2" s="1">
        <v>40</v>
      </c>
      <c r="B2" s="1">
        <v>55</v>
      </c>
      <c r="C2" s="1">
        <v>62</v>
      </c>
      <c r="D2" s="1" t="s">
        <v>4</v>
      </c>
      <c r="E2" s="1">
        <f t="shared" ref="E2:E65" si="0">((B2/A2)-1)/C2</f>
        <v>6.0483870967741934E-3</v>
      </c>
      <c r="F2" s="1"/>
    </row>
    <row r="3" spans="1:9" x14ac:dyDescent="0.35">
      <c r="A3" s="1">
        <v>78</v>
      </c>
      <c r="B3" s="1">
        <v>80</v>
      </c>
      <c r="C3" s="1">
        <v>162</v>
      </c>
      <c r="D3" s="1" t="s">
        <v>4</v>
      </c>
      <c r="E3" s="1">
        <f t="shared" si="0"/>
        <v>1.5827793605571326E-4</v>
      </c>
      <c r="F3" s="1"/>
    </row>
    <row r="4" spans="1:9" x14ac:dyDescent="0.35">
      <c r="A4" s="1">
        <v>49</v>
      </c>
      <c r="B4" s="1">
        <v>60</v>
      </c>
      <c r="C4" s="1">
        <v>89</v>
      </c>
      <c r="D4" s="1" t="s">
        <v>4</v>
      </c>
      <c r="E4" s="1">
        <f t="shared" si="0"/>
        <v>2.522357257509746E-3</v>
      </c>
      <c r="F4" s="1"/>
      <c r="H4" s="4" t="s">
        <v>8</v>
      </c>
      <c r="I4" s="1">
        <f>AVERAGE(F2:F100)</f>
        <v>1.5363239206081E-2</v>
      </c>
    </row>
    <row r="5" spans="1:9" x14ac:dyDescent="0.35">
      <c r="A5" s="1">
        <v>67</v>
      </c>
      <c r="B5" s="1">
        <v>75</v>
      </c>
      <c r="C5" s="1">
        <v>119</v>
      </c>
      <c r="D5" s="2" t="s">
        <v>4</v>
      </c>
      <c r="E5" s="2">
        <f t="shared" si="0"/>
        <v>1.0033864291985443E-3</v>
      </c>
      <c r="F5" s="1"/>
    </row>
    <row r="6" spans="1:9" x14ac:dyDescent="0.35">
      <c r="A6" s="1">
        <v>15</v>
      </c>
      <c r="B6" s="1">
        <v>35</v>
      </c>
      <c r="C6" s="1">
        <v>13</v>
      </c>
      <c r="D6" s="2" t="s">
        <v>5</v>
      </c>
      <c r="E6" s="2">
        <f t="shared" si="0"/>
        <v>0.10256410256410257</v>
      </c>
      <c r="F6" s="1">
        <f>GEOMEAN(E5:E6)</f>
        <v>1.0144527028686363E-2</v>
      </c>
    </row>
    <row r="7" spans="1:9" x14ac:dyDescent="0.35">
      <c r="A7" s="1">
        <v>27</v>
      </c>
      <c r="B7" s="1">
        <v>50</v>
      </c>
      <c r="C7" s="1">
        <v>21</v>
      </c>
      <c r="D7" s="1" t="s">
        <v>5</v>
      </c>
      <c r="E7" s="1">
        <f t="shared" si="0"/>
        <v>4.0564373897707229E-2</v>
      </c>
      <c r="F7" s="1"/>
    </row>
    <row r="8" spans="1:9" x14ac:dyDescent="0.35">
      <c r="A8" s="1">
        <v>11</v>
      </c>
      <c r="B8" s="1">
        <v>30</v>
      </c>
      <c r="C8" s="1">
        <v>7</v>
      </c>
      <c r="D8" s="1" t="s">
        <v>5</v>
      </c>
      <c r="E8" s="1">
        <f t="shared" si="0"/>
        <v>0.24675324675324672</v>
      </c>
      <c r="F8" s="1"/>
    </row>
    <row r="9" spans="1:9" x14ac:dyDescent="0.35">
      <c r="A9" s="1">
        <v>67</v>
      </c>
      <c r="B9" s="1">
        <v>75</v>
      </c>
      <c r="C9" s="1">
        <v>119</v>
      </c>
      <c r="D9" s="1" t="s">
        <v>4</v>
      </c>
      <c r="E9" s="1">
        <f t="shared" si="0"/>
        <v>1.0033864291985443E-3</v>
      </c>
      <c r="F9" s="1"/>
    </row>
    <row r="10" spans="1:9" x14ac:dyDescent="0.35">
      <c r="A10" s="1">
        <v>49</v>
      </c>
      <c r="B10" s="1">
        <v>60</v>
      </c>
      <c r="C10" s="1">
        <v>89</v>
      </c>
      <c r="D10" s="2" t="s">
        <v>4</v>
      </c>
      <c r="E10" s="2">
        <f t="shared" si="0"/>
        <v>2.522357257509746E-3</v>
      </c>
      <c r="F10" s="1"/>
    </row>
    <row r="11" spans="1:9" x14ac:dyDescent="0.35">
      <c r="A11" s="1">
        <v>27</v>
      </c>
      <c r="B11" s="1">
        <v>50</v>
      </c>
      <c r="C11" s="1">
        <v>21</v>
      </c>
      <c r="D11" s="2" t="s">
        <v>5</v>
      </c>
      <c r="E11" s="2">
        <f t="shared" si="0"/>
        <v>4.0564373897707229E-2</v>
      </c>
      <c r="F11" s="1">
        <f>GEOMEAN(E10:E11)</f>
        <v>1.0115228267183135E-2</v>
      </c>
    </row>
    <row r="12" spans="1:9" x14ac:dyDescent="0.35">
      <c r="A12" s="1">
        <v>40</v>
      </c>
      <c r="B12" s="1">
        <v>55</v>
      </c>
      <c r="C12" s="1">
        <v>62</v>
      </c>
      <c r="D12" s="2" t="s">
        <v>4</v>
      </c>
      <c r="E12" s="2">
        <f t="shared" si="0"/>
        <v>6.0483870967741934E-3</v>
      </c>
      <c r="F12" s="1"/>
    </row>
    <row r="13" spans="1:9" x14ac:dyDescent="0.35">
      <c r="A13" s="1">
        <v>11</v>
      </c>
      <c r="B13" s="1">
        <v>30</v>
      </c>
      <c r="C13" s="1">
        <v>7</v>
      </c>
      <c r="D13" s="2" t="s">
        <v>5</v>
      </c>
      <c r="E13" s="2">
        <f t="shared" si="0"/>
        <v>0.24675324675324672</v>
      </c>
      <c r="F13" s="1">
        <f>GEOMEAN(E12:E13)</f>
        <v>3.8632358894448528E-2</v>
      </c>
    </row>
    <row r="14" spans="1:9" x14ac:dyDescent="0.35">
      <c r="A14" s="1">
        <v>15</v>
      </c>
      <c r="B14" s="1">
        <v>35</v>
      </c>
      <c r="C14" s="1">
        <v>13</v>
      </c>
      <c r="D14" s="1" t="s">
        <v>5</v>
      </c>
      <c r="E14" s="1">
        <f t="shared" si="0"/>
        <v>0.10256410256410257</v>
      </c>
      <c r="F14" s="1"/>
    </row>
    <row r="15" spans="1:9" x14ac:dyDescent="0.35">
      <c r="A15" s="1">
        <v>78</v>
      </c>
      <c r="B15" s="1">
        <v>80</v>
      </c>
      <c r="C15" s="1">
        <v>162</v>
      </c>
      <c r="D15" s="2" t="s">
        <v>4</v>
      </c>
      <c r="E15" s="2">
        <f t="shared" si="0"/>
        <v>1.5827793605571326E-4</v>
      </c>
      <c r="F15" s="1"/>
    </row>
    <row r="16" spans="1:9" x14ac:dyDescent="0.35">
      <c r="A16" s="1">
        <v>15</v>
      </c>
      <c r="B16" s="1">
        <v>35</v>
      </c>
      <c r="C16" s="1">
        <v>13</v>
      </c>
      <c r="D16" s="2" t="s">
        <v>5</v>
      </c>
      <c r="E16" s="2">
        <f t="shared" si="0"/>
        <v>0.10256410256410257</v>
      </c>
      <c r="F16" s="1">
        <f>GEOMEAN(E15:E16)</f>
        <v>4.0290984682994089E-3</v>
      </c>
    </row>
    <row r="17" spans="1:6" x14ac:dyDescent="0.35">
      <c r="A17" s="1">
        <v>40</v>
      </c>
      <c r="B17" s="1">
        <v>55</v>
      </c>
      <c r="C17" s="1">
        <v>62</v>
      </c>
      <c r="D17" s="1" t="s">
        <v>4</v>
      </c>
      <c r="E17" s="1">
        <f t="shared" si="0"/>
        <v>6.0483870967741934E-3</v>
      </c>
      <c r="F17" s="1"/>
    </row>
    <row r="18" spans="1:6" x14ac:dyDescent="0.35">
      <c r="A18" s="1">
        <v>67</v>
      </c>
      <c r="B18" s="1">
        <v>75</v>
      </c>
      <c r="C18" s="1">
        <v>119</v>
      </c>
      <c r="D18" s="2" t="s">
        <v>4</v>
      </c>
      <c r="E18" s="2">
        <f t="shared" si="0"/>
        <v>1.0033864291985443E-3</v>
      </c>
      <c r="F18" s="1"/>
    </row>
    <row r="19" spans="1:6" x14ac:dyDescent="0.35">
      <c r="A19" s="1">
        <v>27</v>
      </c>
      <c r="B19" s="1">
        <v>50</v>
      </c>
      <c r="C19" s="1">
        <v>21</v>
      </c>
      <c r="D19" s="2" t="s">
        <v>5</v>
      </c>
      <c r="E19" s="2">
        <f t="shared" si="0"/>
        <v>4.0564373897707229E-2</v>
      </c>
      <c r="F19" s="1">
        <f>GEOMEAN(E18:E19)</f>
        <v>6.3797917111685625E-3</v>
      </c>
    </row>
    <row r="20" spans="1:6" x14ac:dyDescent="0.35">
      <c r="A20" s="1">
        <v>11</v>
      </c>
      <c r="B20" s="1">
        <v>30</v>
      </c>
      <c r="C20" s="1">
        <v>7</v>
      </c>
      <c r="D20" s="1" t="s">
        <v>5</v>
      </c>
      <c r="E20" s="1">
        <f t="shared" si="0"/>
        <v>0.24675324675324672</v>
      </c>
      <c r="F20" s="1"/>
    </row>
    <row r="21" spans="1:6" x14ac:dyDescent="0.35">
      <c r="A21" s="1">
        <v>78</v>
      </c>
      <c r="B21" s="1">
        <v>80</v>
      </c>
      <c r="C21" s="1">
        <v>162</v>
      </c>
      <c r="D21" s="2" t="s">
        <v>4</v>
      </c>
      <c r="E21" s="2">
        <f t="shared" si="0"/>
        <v>1.5827793605571326E-4</v>
      </c>
      <c r="F21" s="1"/>
    </row>
    <row r="22" spans="1:6" x14ac:dyDescent="0.35">
      <c r="A22" s="1">
        <v>49</v>
      </c>
      <c r="B22" s="1">
        <v>60</v>
      </c>
      <c r="C22" s="1">
        <v>89</v>
      </c>
      <c r="D22" s="2" t="s">
        <v>5</v>
      </c>
      <c r="E22" s="2">
        <f t="shared" si="0"/>
        <v>2.522357257509746E-3</v>
      </c>
      <c r="F22" s="1">
        <f>GEOMEAN(E21:E22)</f>
        <v>6.3184927056521311E-4</v>
      </c>
    </row>
    <row r="23" spans="1:6" x14ac:dyDescent="0.35">
      <c r="A23" s="1">
        <v>49</v>
      </c>
      <c r="B23" s="1">
        <v>60</v>
      </c>
      <c r="C23" s="1">
        <v>89</v>
      </c>
      <c r="D23" s="2" t="s">
        <v>4</v>
      </c>
      <c r="E23" s="2">
        <f t="shared" si="0"/>
        <v>2.522357257509746E-3</v>
      </c>
      <c r="F23" s="1"/>
    </row>
    <row r="24" spans="1:6" x14ac:dyDescent="0.35">
      <c r="A24" s="1">
        <v>15</v>
      </c>
      <c r="B24" s="1">
        <v>35</v>
      </c>
      <c r="C24" s="1">
        <v>13</v>
      </c>
      <c r="D24" s="2" t="s">
        <v>5</v>
      </c>
      <c r="E24" s="2">
        <f t="shared" si="0"/>
        <v>0.10256410256410257</v>
      </c>
      <c r="F24" s="1">
        <f>GEOMEAN(E23:E24)</f>
        <v>1.6084256540559717E-2</v>
      </c>
    </row>
    <row r="25" spans="1:6" x14ac:dyDescent="0.35">
      <c r="A25" s="1">
        <v>67</v>
      </c>
      <c r="B25" s="1">
        <v>75</v>
      </c>
      <c r="C25" s="1">
        <v>119</v>
      </c>
      <c r="D25" s="1" t="s">
        <v>4</v>
      </c>
      <c r="E25" s="1">
        <f t="shared" si="0"/>
        <v>1.0033864291985443E-3</v>
      </c>
      <c r="F25" s="1"/>
    </row>
    <row r="26" spans="1:6" x14ac:dyDescent="0.35">
      <c r="A26" s="1">
        <v>78</v>
      </c>
      <c r="B26" s="1">
        <v>80</v>
      </c>
      <c r="C26" s="1">
        <v>162</v>
      </c>
      <c r="D26" s="1" t="s">
        <v>4</v>
      </c>
      <c r="E26" s="1">
        <f t="shared" si="0"/>
        <v>1.5827793605571326E-4</v>
      </c>
      <c r="F26" s="1"/>
    </row>
    <row r="27" spans="1:6" x14ac:dyDescent="0.35">
      <c r="A27" s="1">
        <v>40</v>
      </c>
      <c r="B27" s="1">
        <v>55</v>
      </c>
      <c r="C27" s="1">
        <v>62</v>
      </c>
      <c r="D27" s="2" t="s">
        <v>4</v>
      </c>
      <c r="E27" s="2">
        <f t="shared" si="0"/>
        <v>6.0483870967741934E-3</v>
      </c>
      <c r="F27" s="1"/>
    </row>
    <row r="28" spans="1:6" x14ac:dyDescent="0.35">
      <c r="A28" s="1">
        <v>11</v>
      </c>
      <c r="B28" s="1">
        <v>30</v>
      </c>
      <c r="C28" s="1">
        <v>7</v>
      </c>
      <c r="D28" s="2" t="s">
        <v>5</v>
      </c>
      <c r="E28" s="2">
        <f t="shared" si="0"/>
        <v>0.24675324675324672</v>
      </c>
      <c r="F28" s="1">
        <f>GEOMEAN(E27:E28)</f>
        <v>3.8632358894448528E-2</v>
      </c>
    </row>
    <row r="29" spans="1:6" x14ac:dyDescent="0.35">
      <c r="A29" s="1">
        <v>27</v>
      </c>
      <c r="B29" s="1">
        <v>50</v>
      </c>
      <c r="C29" s="1">
        <v>21</v>
      </c>
      <c r="D29" s="1" t="s">
        <v>5</v>
      </c>
      <c r="E29" s="1">
        <f t="shared" si="0"/>
        <v>4.0564373897707229E-2</v>
      </c>
      <c r="F29" s="1"/>
    </row>
    <row r="30" spans="1:6" x14ac:dyDescent="0.35">
      <c r="A30" s="1">
        <v>49</v>
      </c>
      <c r="B30" s="1">
        <v>60</v>
      </c>
      <c r="C30" s="1">
        <v>89</v>
      </c>
      <c r="D30" s="2" t="s">
        <v>4</v>
      </c>
      <c r="E30" s="2">
        <f t="shared" si="0"/>
        <v>2.522357257509746E-3</v>
      </c>
      <c r="F30" s="1"/>
    </row>
    <row r="31" spans="1:6" x14ac:dyDescent="0.35">
      <c r="A31" s="1">
        <v>15</v>
      </c>
      <c r="B31" s="1">
        <v>35</v>
      </c>
      <c r="C31" s="1">
        <v>13</v>
      </c>
      <c r="D31" s="2" t="s">
        <v>5</v>
      </c>
      <c r="E31" s="2">
        <f t="shared" si="0"/>
        <v>0.10256410256410257</v>
      </c>
      <c r="F31" s="1">
        <f>GEOMEAN(E30:E31)</f>
        <v>1.6084256540559717E-2</v>
      </c>
    </row>
    <row r="32" spans="1:6" x14ac:dyDescent="0.35">
      <c r="A32" s="1">
        <v>27</v>
      </c>
      <c r="B32" s="1">
        <v>50</v>
      </c>
      <c r="C32" s="1">
        <v>21</v>
      </c>
      <c r="D32" s="1" t="s">
        <v>5</v>
      </c>
      <c r="E32" s="1">
        <f t="shared" si="0"/>
        <v>4.0564373897707229E-2</v>
      </c>
      <c r="F32" s="1"/>
    </row>
    <row r="33" spans="1:6" x14ac:dyDescent="0.35">
      <c r="A33" s="1">
        <v>11</v>
      </c>
      <c r="B33" s="1">
        <v>30</v>
      </c>
      <c r="C33" s="1">
        <v>7</v>
      </c>
      <c r="D33" s="1" t="s">
        <v>5</v>
      </c>
      <c r="E33" s="1">
        <f t="shared" si="0"/>
        <v>0.24675324675324672</v>
      </c>
      <c r="F33" s="1"/>
    </row>
    <row r="34" spans="1:6" x14ac:dyDescent="0.35">
      <c r="A34" s="1">
        <v>67</v>
      </c>
      <c r="B34" s="1">
        <v>75</v>
      </c>
      <c r="C34" s="1">
        <v>119</v>
      </c>
      <c r="D34" s="1" t="s">
        <v>4</v>
      </c>
      <c r="E34" s="1">
        <f t="shared" si="0"/>
        <v>1.0033864291985443E-3</v>
      </c>
      <c r="F34" s="1"/>
    </row>
    <row r="35" spans="1:6" x14ac:dyDescent="0.35">
      <c r="A35" s="1">
        <v>40</v>
      </c>
      <c r="B35" s="1">
        <v>55</v>
      </c>
      <c r="C35" s="1">
        <v>62</v>
      </c>
      <c r="D35" s="1" t="s">
        <v>4</v>
      </c>
      <c r="E35" s="1">
        <f t="shared" si="0"/>
        <v>6.0483870967741934E-3</v>
      </c>
      <c r="F35" s="1"/>
    </row>
    <row r="36" spans="1:6" x14ac:dyDescent="0.35">
      <c r="A36" s="1">
        <v>78</v>
      </c>
      <c r="B36" s="1">
        <v>80</v>
      </c>
      <c r="C36" s="1">
        <v>162</v>
      </c>
      <c r="D36" s="2" t="s">
        <v>4</v>
      </c>
      <c r="E36" s="2">
        <f t="shared" si="0"/>
        <v>1.5827793605571326E-4</v>
      </c>
      <c r="F36" s="1"/>
    </row>
    <row r="37" spans="1:6" x14ac:dyDescent="0.35">
      <c r="A37" s="1">
        <v>27</v>
      </c>
      <c r="B37" s="1">
        <v>50</v>
      </c>
      <c r="C37" s="1">
        <v>21</v>
      </c>
      <c r="D37" s="2" t="s">
        <v>5</v>
      </c>
      <c r="E37" s="2">
        <f t="shared" si="0"/>
        <v>4.0564373897707229E-2</v>
      </c>
      <c r="F37" s="1">
        <f>GEOMEAN(E36:E37)</f>
        <v>2.5338597786620613E-3</v>
      </c>
    </row>
    <row r="38" spans="1:6" x14ac:dyDescent="0.35">
      <c r="A38" s="1">
        <v>11</v>
      </c>
      <c r="B38" s="1">
        <v>30</v>
      </c>
      <c r="C38" s="1">
        <v>7</v>
      </c>
      <c r="D38" s="1" t="s">
        <v>5</v>
      </c>
      <c r="E38" s="1">
        <f t="shared" si="0"/>
        <v>0.24675324675324672</v>
      </c>
      <c r="F38" s="1"/>
    </row>
    <row r="39" spans="1:6" x14ac:dyDescent="0.35">
      <c r="A39" s="1">
        <v>78</v>
      </c>
      <c r="B39" s="1">
        <v>80</v>
      </c>
      <c r="C39" s="1">
        <v>162</v>
      </c>
      <c r="D39" s="2" t="s">
        <v>4</v>
      </c>
      <c r="E39" s="2">
        <f t="shared" si="0"/>
        <v>1.5827793605571326E-4</v>
      </c>
      <c r="F39" s="1"/>
    </row>
    <row r="40" spans="1:6" x14ac:dyDescent="0.35">
      <c r="A40" s="1">
        <v>40</v>
      </c>
      <c r="B40" s="1">
        <v>55</v>
      </c>
      <c r="C40" s="1">
        <v>62</v>
      </c>
      <c r="D40" s="2" t="s">
        <v>5</v>
      </c>
      <c r="E40" s="2">
        <f t="shared" si="0"/>
        <v>6.0483870967741934E-3</v>
      </c>
      <c r="F40" s="1">
        <f>GEOMEAN(E39:E40)</f>
        <v>9.7843049121714679E-4</v>
      </c>
    </row>
    <row r="41" spans="1:6" x14ac:dyDescent="0.35">
      <c r="A41" s="1">
        <v>67</v>
      </c>
      <c r="B41" s="1">
        <v>75</v>
      </c>
      <c r="C41" s="1">
        <v>119</v>
      </c>
      <c r="D41" s="1" t="s">
        <v>4</v>
      </c>
      <c r="E41" s="1">
        <f t="shared" si="0"/>
        <v>1.0033864291985443E-3</v>
      </c>
      <c r="F41" s="1"/>
    </row>
    <row r="42" spans="1:6" x14ac:dyDescent="0.35">
      <c r="A42" s="1">
        <v>49</v>
      </c>
      <c r="B42" s="1">
        <v>60</v>
      </c>
      <c r="C42" s="1">
        <v>89</v>
      </c>
      <c r="D42" s="2" t="s">
        <v>4</v>
      </c>
      <c r="E42" s="2">
        <f t="shared" si="0"/>
        <v>2.522357257509746E-3</v>
      </c>
      <c r="F42" s="1"/>
    </row>
    <row r="43" spans="1:6" x14ac:dyDescent="0.35">
      <c r="A43" s="1">
        <v>15</v>
      </c>
      <c r="B43" s="1">
        <v>35</v>
      </c>
      <c r="C43" s="1">
        <v>13</v>
      </c>
      <c r="D43" s="2" t="s">
        <v>5</v>
      </c>
      <c r="E43" s="2">
        <f t="shared" si="0"/>
        <v>0.10256410256410257</v>
      </c>
      <c r="F43" s="1">
        <f>GEOMEAN(E42:E43)</f>
        <v>1.6084256540559717E-2</v>
      </c>
    </row>
    <row r="44" spans="1:6" x14ac:dyDescent="0.35">
      <c r="A44" s="1">
        <v>15</v>
      </c>
      <c r="B44" s="1">
        <v>35</v>
      </c>
      <c r="C44" s="1">
        <v>13</v>
      </c>
      <c r="D44" s="1" t="s">
        <v>5</v>
      </c>
      <c r="E44" s="1">
        <f t="shared" si="0"/>
        <v>0.10256410256410257</v>
      </c>
      <c r="F44" s="1"/>
    </row>
    <row r="45" spans="1:6" x14ac:dyDescent="0.35">
      <c r="A45" s="1">
        <v>40</v>
      </c>
      <c r="B45" s="1">
        <v>55</v>
      </c>
      <c r="C45" s="1">
        <v>62</v>
      </c>
      <c r="D45" s="1" t="s">
        <v>4</v>
      </c>
      <c r="E45" s="1">
        <f t="shared" si="0"/>
        <v>6.0483870967741934E-3</v>
      </c>
      <c r="F45" s="1"/>
    </row>
    <row r="46" spans="1:6" x14ac:dyDescent="0.35">
      <c r="A46" s="1">
        <v>78</v>
      </c>
      <c r="B46" s="1">
        <v>80</v>
      </c>
      <c r="C46" s="1">
        <v>162</v>
      </c>
      <c r="D46" s="2" t="s">
        <v>4</v>
      </c>
      <c r="E46" s="2">
        <f t="shared" si="0"/>
        <v>1.5827793605571326E-4</v>
      </c>
      <c r="F46" s="1"/>
    </row>
    <row r="47" spans="1:6" x14ac:dyDescent="0.35">
      <c r="A47" s="1">
        <v>11</v>
      </c>
      <c r="B47" s="1">
        <v>30</v>
      </c>
      <c r="C47" s="1">
        <v>7</v>
      </c>
      <c r="D47" s="2" t="s">
        <v>5</v>
      </c>
      <c r="E47" s="2">
        <f t="shared" si="0"/>
        <v>0.24675324675324672</v>
      </c>
      <c r="F47" s="1">
        <f>GEOMEAN(E46:E47)</f>
        <v>6.2494475444754335E-3</v>
      </c>
    </row>
    <row r="48" spans="1:6" x14ac:dyDescent="0.35">
      <c r="A48" s="1">
        <v>27</v>
      </c>
      <c r="B48" s="1">
        <v>50</v>
      </c>
      <c r="C48" s="1">
        <v>21</v>
      </c>
      <c r="D48" s="1" t="s">
        <v>5</v>
      </c>
      <c r="E48" s="1">
        <f t="shared" si="0"/>
        <v>4.0564373897707229E-2</v>
      </c>
      <c r="F48" s="1"/>
    </row>
    <row r="49" spans="1:6" x14ac:dyDescent="0.35">
      <c r="A49" s="1">
        <v>67</v>
      </c>
      <c r="B49" s="1">
        <v>75</v>
      </c>
      <c r="C49" s="1">
        <v>119</v>
      </c>
      <c r="D49" s="1" t="s">
        <v>4</v>
      </c>
      <c r="E49" s="1">
        <f t="shared" si="0"/>
        <v>1.0033864291985443E-3</v>
      </c>
      <c r="F49" s="1"/>
    </row>
    <row r="50" spans="1:6" x14ac:dyDescent="0.35">
      <c r="A50" s="1">
        <v>49</v>
      </c>
      <c r="B50" s="1">
        <v>60</v>
      </c>
      <c r="C50" s="1">
        <v>89</v>
      </c>
      <c r="D50" s="2" t="s">
        <v>4</v>
      </c>
      <c r="E50" s="2">
        <f t="shared" si="0"/>
        <v>2.522357257509746E-3</v>
      </c>
      <c r="F50" s="1"/>
    </row>
    <row r="51" spans="1:6" x14ac:dyDescent="0.35">
      <c r="A51" s="1">
        <v>27</v>
      </c>
      <c r="B51" s="1">
        <v>50</v>
      </c>
      <c r="C51" s="1">
        <v>21</v>
      </c>
      <c r="D51" s="2" t="s">
        <v>5</v>
      </c>
      <c r="E51" s="2">
        <f t="shared" si="0"/>
        <v>4.0564373897707229E-2</v>
      </c>
      <c r="F51" s="1">
        <f>GEOMEAN(E50:E51)</f>
        <v>1.0115228267183135E-2</v>
      </c>
    </row>
    <row r="52" spans="1:6" x14ac:dyDescent="0.35">
      <c r="A52" s="1">
        <v>40</v>
      </c>
      <c r="B52" s="1">
        <v>55</v>
      </c>
      <c r="C52" s="1">
        <v>62</v>
      </c>
      <c r="D52" s="1" t="s">
        <v>4</v>
      </c>
      <c r="E52" s="1">
        <f t="shared" si="0"/>
        <v>6.0483870967741934E-3</v>
      </c>
      <c r="F52" s="1"/>
    </row>
    <row r="53" spans="1:6" x14ac:dyDescent="0.35">
      <c r="A53" s="1">
        <v>78</v>
      </c>
      <c r="B53" s="1">
        <v>80</v>
      </c>
      <c r="C53" s="1">
        <v>162</v>
      </c>
      <c r="D53" s="2" t="s">
        <v>4</v>
      </c>
      <c r="E53" s="2">
        <f t="shared" si="0"/>
        <v>1.5827793605571326E-4</v>
      </c>
      <c r="F53" s="1"/>
    </row>
    <row r="54" spans="1:6" x14ac:dyDescent="0.35">
      <c r="A54" s="1">
        <v>15</v>
      </c>
      <c r="B54" s="1">
        <v>35</v>
      </c>
      <c r="C54" s="1">
        <v>13</v>
      </c>
      <c r="D54" s="2" t="s">
        <v>5</v>
      </c>
      <c r="E54" s="2">
        <f t="shared" si="0"/>
        <v>0.10256410256410257</v>
      </c>
      <c r="F54" s="1">
        <f t="shared" ref="F54" si="1">GEOMEAN(E53:E54)</f>
        <v>4.0290984682994089E-3</v>
      </c>
    </row>
    <row r="55" spans="1:6" x14ac:dyDescent="0.35">
      <c r="A55" s="1">
        <v>67</v>
      </c>
      <c r="B55" s="1">
        <v>75</v>
      </c>
      <c r="C55" s="1">
        <v>119</v>
      </c>
      <c r="D55" s="1" t="s">
        <v>4</v>
      </c>
      <c r="E55" s="1">
        <f t="shared" si="0"/>
        <v>1.0033864291985443E-3</v>
      </c>
      <c r="F55" s="1"/>
    </row>
    <row r="56" spans="1:6" x14ac:dyDescent="0.35">
      <c r="A56" s="1">
        <v>49</v>
      </c>
      <c r="B56" s="1">
        <v>60</v>
      </c>
      <c r="C56" s="1">
        <v>89</v>
      </c>
      <c r="D56" s="2" t="s">
        <v>4</v>
      </c>
      <c r="E56" s="2">
        <f t="shared" si="0"/>
        <v>2.522357257509746E-3</v>
      </c>
      <c r="F56" s="1"/>
    </row>
    <row r="57" spans="1:6" x14ac:dyDescent="0.35">
      <c r="A57" s="1">
        <v>11</v>
      </c>
      <c r="B57" s="1">
        <v>30</v>
      </c>
      <c r="C57" s="1">
        <v>7</v>
      </c>
      <c r="D57" s="2" t="s">
        <v>5</v>
      </c>
      <c r="E57" s="2">
        <f t="shared" si="0"/>
        <v>0.24675324675324672</v>
      </c>
      <c r="F57" s="1">
        <f>GEOMEAN(E56:E57)</f>
        <v>2.494794265590141E-2</v>
      </c>
    </row>
    <row r="58" spans="1:6" x14ac:dyDescent="0.35">
      <c r="A58" s="1">
        <v>49</v>
      </c>
      <c r="B58" s="1">
        <v>60</v>
      </c>
      <c r="C58" s="1">
        <v>89</v>
      </c>
      <c r="D58" s="2" t="s">
        <v>4</v>
      </c>
      <c r="E58" s="2">
        <f t="shared" si="0"/>
        <v>2.522357257509746E-3</v>
      </c>
      <c r="F58" s="1"/>
    </row>
    <row r="59" spans="1:6" x14ac:dyDescent="0.35">
      <c r="A59" s="1">
        <v>15</v>
      </c>
      <c r="B59" s="1">
        <v>35</v>
      </c>
      <c r="C59" s="1">
        <v>13</v>
      </c>
      <c r="D59" s="2" t="s">
        <v>5</v>
      </c>
      <c r="E59" s="2">
        <f t="shared" si="0"/>
        <v>0.10256410256410257</v>
      </c>
      <c r="F59" s="1">
        <f>GEOMEAN(E58:E59)</f>
        <v>1.6084256540559717E-2</v>
      </c>
    </row>
    <row r="60" spans="1:6" x14ac:dyDescent="0.35">
      <c r="A60" s="1">
        <v>67</v>
      </c>
      <c r="B60" s="1">
        <v>75</v>
      </c>
      <c r="C60" s="1">
        <v>119</v>
      </c>
      <c r="D60" s="1" t="s">
        <v>4</v>
      </c>
      <c r="E60" s="1">
        <f t="shared" si="0"/>
        <v>1.0033864291985443E-3</v>
      </c>
      <c r="F60" s="1"/>
    </row>
    <row r="61" spans="1:6" x14ac:dyDescent="0.35">
      <c r="A61" s="1">
        <v>27</v>
      </c>
      <c r="B61" s="1">
        <v>50</v>
      </c>
      <c r="C61" s="1">
        <v>21</v>
      </c>
      <c r="D61" s="1" t="s">
        <v>4</v>
      </c>
      <c r="E61" s="1">
        <f t="shared" si="0"/>
        <v>4.0564373897707229E-2</v>
      </c>
      <c r="F61" s="1"/>
    </row>
    <row r="62" spans="1:6" x14ac:dyDescent="0.35">
      <c r="A62" s="1">
        <v>40</v>
      </c>
      <c r="B62" s="1">
        <v>55</v>
      </c>
      <c r="C62" s="1">
        <v>62</v>
      </c>
      <c r="D62" s="2" t="s">
        <v>4</v>
      </c>
      <c r="E62" s="2">
        <f t="shared" si="0"/>
        <v>6.0483870967741934E-3</v>
      </c>
      <c r="F62" s="1"/>
    </row>
    <row r="63" spans="1:6" x14ac:dyDescent="0.35">
      <c r="A63" s="1">
        <v>11</v>
      </c>
      <c r="B63" s="1">
        <v>30</v>
      </c>
      <c r="C63" s="1">
        <v>7</v>
      </c>
      <c r="D63" s="2" t="s">
        <v>5</v>
      </c>
      <c r="E63" s="2">
        <f t="shared" si="0"/>
        <v>0.24675324675324672</v>
      </c>
      <c r="F63" s="1">
        <f>GEOMEAN(E62:E63)</f>
        <v>3.8632358894448528E-2</v>
      </c>
    </row>
    <row r="64" spans="1:6" x14ac:dyDescent="0.35">
      <c r="A64" s="1">
        <v>78</v>
      </c>
      <c r="B64" s="1">
        <v>80</v>
      </c>
      <c r="C64" s="1">
        <v>162</v>
      </c>
      <c r="D64" s="1" t="s">
        <v>4</v>
      </c>
      <c r="E64" s="1">
        <f t="shared" si="0"/>
        <v>1.5827793605571326E-4</v>
      </c>
      <c r="F64" s="1"/>
    </row>
    <row r="65" spans="1:6" x14ac:dyDescent="0.35">
      <c r="A65" s="1">
        <v>49</v>
      </c>
      <c r="B65" s="1">
        <v>60</v>
      </c>
      <c r="C65" s="1">
        <v>89</v>
      </c>
      <c r="D65" s="1" t="s">
        <v>4</v>
      </c>
      <c r="E65" s="1">
        <f t="shared" si="0"/>
        <v>2.522357257509746E-3</v>
      </c>
      <c r="F65" s="1"/>
    </row>
    <row r="66" spans="1:6" x14ac:dyDescent="0.35">
      <c r="A66" s="1">
        <v>67</v>
      </c>
      <c r="B66" s="1">
        <v>75</v>
      </c>
      <c r="C66" s="1">
        <v>119</v>
      </c>
      <c r="D66" s="2" t="s">
        <v>4</v>
      </c>
      <c r="E66" s="2">
        <f t="shared" ref="E66:E100" si="2">((B66/A66)-1)/C66</f>
        <v>1.0033864291985443E-3</v>
      </c>
      <c r="F66" s="1"/>
    </row>
    <row r="67" spans="1:6" x14ac:dyDescent="0.35">
      <c r="A67" s="1">
        <v>27</v>
      </c>
      <c r="B67" s="1">
        <v>50</v>
      </c>
      <c r="C67" s="1">
        <v>21</v>
      </c>
      <c r="D67" s="2" t="s">
        <v>5</v>
      </c>
      <c r="E67" s="2">
        <f t="shared" si="2"/>
        <v>4.0564373897707229E-2</v>
      </c>
      <c r="F67" s="1">
        <f>GEOMEAN(E66:E67)</f>
        <v>6.3797917111685625E-3</v>
      </c>
    </row>
    <row r="68" spans="1:6" x14ac:dyDescent="0.35">
      <c r="A68" s="1">
        <v>40</v>
      </c>
      <c r="B68" s="1">
        <v>55</v>
      </c>
      <c r="C68" s="1">
        <v>62</v>
      </c>
      <c r="D68" s="1" t="s">
        <v>5</v>
      </c>
      <c r="E68" s="1">
        <f t="shared" si="2"/>
        <v>6.0483870967741934E-3</v>
      </c>
      <c r="F68" s="1"/>
    </row>
    <row r="69" spans="1:6" x14ac:dyDescent="0.35">
      <c r="A69" s="1">
        <v>11</v>
      </c>
      <c r="B69" s="1">
        <v>30</v>
      </c>
      <c r="C69" s="1">
        <v>7</v>
      </c>
      <c r="D69" s="1" t="s">
        <v>5</v>
      </c>
      <c r="E69" s="1">
        <f t="shared" si="2"/>
        <v>0.24675324675324672</v>
      </c>
      <c r="F69" s="1"/>
    </row>
    <row r="70" spans="1:6" x14ac:dyDescent="0.35">
      <c r="A70" s="1">
        <v>15</v>
      </c>
      <c r="B70" s="1">
        <v>35</v>
      </c>
      <c r="C70" s="1">
        <v>13</v>
      </c>
      <c r="D70" s="1" t="s">
        <v>5</v>
      </c>
      <c r="E70" s="1">
        <f t="shared" si="2"/>
        <v>0.10256410256410257</v>
      </c>
      <c r="F70" s="1"/>
    </row>
    <row r="71" spans="1:6" x14ac:dyDescent="0.35">
      <c r="A71" s="1">
        <v>78</v>
      </c>
      <c r="B71" s="1">
        <v>80</v>
      </c>
      <c r="C71" s="1">
        <v>162</v>
      </c>
      <c r="D71" s="2" t="s">
        <v>4</v>
      </c>
      <c r="E71" s="2">
        <f t="shared" si="2"/>
        <v>1.5827793605571326E-4</v>
      </c>
      <c r="F71" s="1"/>
    </row>
    <row r="72" spans="1:6" x14ac:dyDescent="0.35">
      <c r="A72" s="1">
        <v>11</v>
      </c>
      <c r="B72" s="1">
        <v>30</v>
      </c>
      <c r="C72" s="1">
        <v>7</v>
      </c>
      <c r="D72" s="2" t="s">
        <v>5</v>
      </c>
      <c r="E72" s="2">
        <f t="shared" si="2"/>
        <v>0.24675324675324672</v>
      </c>
      <c r="F72" s="1">
        <f>GEOMEAN(E71:E72)</f>
        <v>6.2494475444754335E-3</v>
      </c>
    </row>
    <row r="73" spans="1:6" x14ac:dyDescent="0.35">
      <c r="A73" s="1">
        <v>78</v>
      </c>
      <c r="B73" s="1">
        <v>80</v>
      </c>
      <c r="C73" s="1">
        <v>162</v>
      </c>
      <c r="D73" s="1" t="s">
        <v>4</v>
      </c>
      <c r="E73" s="1">
        <f t="shared" si="2"/>
        <v>1.5827793605571326E-4</v>
      </c>
      <c r="F73" s="1"/>
    </row>
    <row r="74" spans="1:6" x14ac:dyDescent="0.35">
      <c r="A74" s="1">
        <v>49</v>
      </c>
      <c r="B74" s="1">
        <v>60</v>
      </c>
      <c r="C74" s="1">
        <v>89</v>
      </c>
      <c r="D74" s="2" t="s">
        <v>4</v>
      </c>
      <c r="E74" s="2">
        <f t="shared" si="2"/>
        <v>2.522357257509746E-3</v>
      </c>
      <c r="F74" s="1"/>
    </row>
    <row r="75" spans="1:6" x14ac:dyDescent="0.35">
      <c r="A75" s="1">
        <v>15</v>
      </c>
      <c r="B75" s="1">
        <v>35</v>
      </c>
      <c r="C75" s="1">
        <v>13</v>
      </c>
      <c r="D75" s="2" t="s">
        <v>5</v>
      </c>
      <c r="E75" s="2">
        <f t="shared" si="2"/>
        <v>0.10256410256410257</v>
      </c>
      <c r="F75" s="1">
        <f>GEOMEAN(E74:E75)</f>
        <v>1.6084256540559717E-2</v>
      </c>
    </row>
    <row r="76" spans="1:6" x14ac:dyDescent="0.35">
      <c r="A76" s="1">
        <v>27</v>
      </c>
      <c r="B76" s="1">
        <v>50</v>
      </c>
      <c r="C76" s="1">
        <v>21</v>
      </c>
      <c r="D76" s="1" t="s">
        <v>5</v>
      </c>
      <c r="E76" s="1">
        <f t="shared" si="2"/>
        <v>4.0564373897707229E-2</v>
      </c>
      <c r="F76" s="1"/>
    </row>
    <row r="77" spans="1:6" x14ac:dyDescent="0.35">
      <c r="A77" s="1">
        <v>67</v>
      </c>
      <c r="B77" s="1">
        <v>75</v>
      </c>
      <c r="C77" s="1">
        <v>119</v>
      </c>
      <c r="D77" s="1" t="s">
        <v>5</v>
      </c>
      <c r="E77" s="1">
        <f t="shared" si="2"/>
        <v>1.0033864291985443E-3</v>
      </c>
      <c r="F77" s="1"/>
    </row>
    <row r="78" spans="1:6" x14ac:dyDescent="0.35">
      <c r="A78" s="1">
        <v>40</v>
      </c>
      <c r="B78" s="1">
        <v>55</v>
      </c>
      <c r="C78" s="1">
        <v>62</v>
      </c>
      <c r="D78" s="1" t="s">
        <v>5</v>
      </c>
      <c r="E78" s="1">
        <f t="shared" si="2"/>
        <v>6.0483870967741934E-3</v>
      </c>
      <c r="F78" s="1"/>
    </row>
    <row r="79" spans="1:6" x14ac:dyDescent="0.35">
      <c r="A79" s="1">
        <v>49</v>
      </c>
      <c r="B79" s="1">
        <v>60</v>
      </c>
      <c r="C79" s="1">
        <v>89</v>
      </c>
      <c r="D79" s="1" t="s">
        <v>4</v>
      </c>
      <c r="E79" s="1">
        <f t="shared" si="2"/>
        <v>2.522357257509746E-3</v>
      </c>
      <c r="F79" s="1"/>
    </row>
    <row r="80" spans="1:6" x14ac:dyDescent="0.35">
      <c r="A80" s="1">
        <v>67</v>
      </c>
      <c r="B80" s="1">
        <v>75</v>
      </c>
      <c r="C80" s="1">
        <v>119</v>
      </c>
      <c r="D80" s="2" t="s">
        <v>4</v>
      </c>
      <c r="E80" s="2">
        <f t="shared" si="2"/>
        <v>1.0033864291985443E-3</v>
      </c>
      <c r="F80" s="1"/>
    </row>
    <row r="81" spans="1:6" x14ac:dyDescent="0.35">
      <c r="A81" s="1">
        <v>11</v>
      </c>
      <c r="B81" s="1">
        <v>30</v>
      </c>
      <c r="C81" s="1">
        <v>7</v>
      </c>
      <c r="D81" s="2" t="s">
        <v>5</v>
      </c>
      <c r="E81" s="2">
        <f t="shared" si="2"/>
        <v>0.24675324675324672</v>
      </c>
      <c r="F81" s="1">
        <f>GEOMEAN(E80:E81)</f>
        <v>1.5734956598379531E-2</v>
      </c>
    </row>
    <row r="82" spans="1:6" x14ac:dyDescent="0.35">
      <c r="A82" s="1">
        <v>78</v>
      </c>
      <c r="B82" s="1">
        <v>80</v>
      </c>
      <c r="C82" s="1">
        <v>162</v>
      </c>
      <c r="D82" s="1" t="s">
        <v>4</v>
      </c>
      <c r="E82" s="1">
        <f t="shared" si="2"/>
        <v>1.5827793605571326E-4</v>
      </c>
      <c r="F82" s="1"/>
    </row>
    <row r="83" spans="1:6" x14ac:dyDescent="0.35">
      <c r="A83" s="1">
        <v>15</v>
      </c>
      <c r="B83" s="1">
        <v>35</v>
      </c>
      <c r="C83" s="1">
        <v>13</v>
      </c>
      <c r="D83" s="1" t="s">
        <v>4</v>
      </c>
      <c r="E83" s="1">
        <f t="shared" si="2"/>
        <v>0.10256410256410257</v>
      </c>
      <c r="F83" s="1"/>
    </row>
    <row r="84" spans="1:6" x14ac:dyDescent="0.35">
      <c r="A84" s="1">
        <v>40</v>
      </c>
      <c r="B84" s="1">
        <v>55</v>
      </c>
      <c r="C84" s="1">
        <v>62</v>
      </c>
      <c r="D84" s="2" t="s">
        <v>4</v>
      </c>
      <c r="E84" s="2">
        <f t="shared" si="2"/>
        <v>6.0483870967741934E-3</v>
      </c>
      <c r="F84" s="1"/>
    </row>
    <row r="85" spans="1:6" x14ac:dyDescent="0.35">
      <c r="A85" s="1">
        <v>27</v>
      </c>
      <c r="B85" s="1">
        <v>50</v>
      </c>
      <c r="C85" s="1">
        <v>21</v>
      </c>
      <c r="D85" s="2" t="s">
        <v>5</v>
      </c>
      <c r="E85" s="2">
        <f t="shared" si="2"/>
        <v>4.0564373897707229E-2</v>
      </c>
      <c r="F85" s="1">
        <f>GEOMEAN(E84:E85)</f>
        <v>1.5663621409866119E-2</v>
      </c>
    </row>
    <row r="86" spans="1:6" x14ac:dyDescent="0.35">
      <c r="A86" s="1">
        <v>15</v>
      </c>
      <c r="B86" s="1">
        <v>35</v>
      </c>
      <c r="C86" s="1">
        <v>13</v>
      </c>
      <c r="D86" s="1" t="s">
        <v>5</v>
      </c>
      <c r="E86" s="1">
        <f t="shared" si="2"/>
        <v>0.10256410256410257</v>
      </c>
      <c r="F86" s="1"/>
    </row>
    <row r="87" spans="1:6" x14ac:dyDescent="0.35">
      <c r="A87" s="1">
        <v>27</v>
      </c>
      <c r="B87" s="1">
        <v>50</v>
      </c>
      <c r="C87" s="1">
        <v>21</v>
      </c>
      <c r="D87" s="1" t="s">
        <v>5</v>
      </c>
      <c r="E87" s="1">
        <f t="shared" si="2"/>
        <v>4.0564373897707229E-2</v>
      </c>
      <c r="F87" s="1"/>
    </row>
    <row r="88" spans="1:6" x14ac:dyDescent="0.35">
      <c r="A88" s="1">
        <v>78</v>
      </c>
      <c r="B88" s="1">
        <v>80</v>
      </c>
      <c r="C88" s="1">
        <v>162</v>
      </c>
      <c r="D88" s="1" t="s">
        <v>4</v>
      </c>
      <c r="E88" s="1">
        <f t="shared" si="2"/>
        <v>1.5827793605571326E-4</v>
      </c>
      <c r="F88" s="1"/>
    </row>
    <row r="89" spans="1:6" x14ac:dyDescent="0.35">
      <c r="A89" s="1">
        <v>67</v>
      </c>
      <c r="B89" s="1">
        <v>75</v>
      </c>
      <c r="C89" s="1">
        <v>119</v>
      </c>
      <c r="D89" s="1" t="s">
        <v>4</v>
      </c>
      <c r="E89" s="1">
        <f t="shared" si="2"/>
        <v>1.0033864291985443E-3</v>
      </c>
      <c r="F89" s="1"/>
    </row>
    <row r="90" spans="1:6" x14ac:dyDescent="0.35">
      <c r="A90" s="1">
        <v>49</v>
      </c>
      <c r="B90" s="1">
        <v>60</v>
      </c>
      <c r="C90" s="1">
        <v>89</v>
      </c>
      <c r="D90" s="1" t="s">
        <v>4</v>
      </c>
      <c r="E90" s="1">
        <f t="shared" si="2"/>
        <v>2.522357257509746E-3</v>
      </c>
      <c r="F90" s="1"/>
    </row>
    <row r="91" spans="1:6" x14ac:dyDescent="0.35">
      <c r="A91" s="1">
        <v>40</v>
      </c>
      <c r="B91" s="1">
        <v>55</v>
      </c>
      <c r="C91" s="1">
        <v>62</v>
      </c>
      <c r="D91" s="2" t="s">
        <v>4</v>
      </c>
      <c r="E91" s="2">
        <f t="shared" si="2"/>
        <v>6.0483870967741934E-3</v>
      </c>
      <c r="F91" s="1"/>
    </row>
    <row r="92" spans="1:6" x14ac:dyDescent="0.35">
      <c r="A92" s="1">
        <v>11</v>
      </c>
      <c r="B92" s="1">
        <v>30</v>
      </c>
      <c r="C92" s="1">
        <v>7</v>
      </c>
      <c r="D92" s="2" t="s">
        <v>5</v>
      </c>
      <c r="E92" s="2">
        <f t="shared" si="2"/>
        <v>0.24675324675324672</v>
      </c>
      <c r="F92" s="1">
        <f>GEOMEAN(E91:E92)</f>
        <v>3.8632358894448528E-2</v>
      </c>
    </row>
    <row r="93" spans="1:6" x14ac:dyDescent="0.35">
      <c r="A93" s="1">
        <v>78</v>
      </c>
      <c r="B93" s="1">
        <v>80</v>
      </c>
      <c r="C93" s="1">
        <v>162</v>
      </c>
      <c r="D93" s="1" t="s">
        <v>4</v>
      </c>
      <c r="E93" s="1">
        <f t="shared" si="2"/>
        <v>1.5827793605571326E-4</v>
      </c>
      <c r="F93" s="1"/>
    </row>
    <row r="94" spans="1:6" x14ac:dyDescent="0.35">
      <c r="A94" s="1">
        <v>49</v>
      </c>
      <c r="B94" s="1">
        <v>60</v>
      </c>
      <c r="C94" s="1">
        <v>89</v>
      </c>
      <c r="D94" s="2" t="s">
        <v>4</v>
      </c>
      <c r="E94" s="2">
        <f t="shared" si="2"/>
        <v>2.522357257509746E-3</v>
      </c>
      <c r="F94" s="1"/>
    </row>
    <row r="95" spans="1:6" x14ac:dyDescent="0.35">
      <c r="A95" s="1">
        <v>11</v>
      </c>
      <c r="B95" s="1">
        <v>30</v>
      </c>
      <c r="C95" s="1">
        <v>7</v>
      </c>
      <c r="D95" s="2" t="s">
        <v>5</v>
      </c>
      <c r="E95" s="2">
        <f t="shared" si="2"/>
        <v>0.24675324675324672</v>
      </c>
      <c r="F95" s="1">
        <f>GEOMEAN(E94:E95)</f>
        <v>2.494794265590141E-2</v>
      </c>
    </row>
    <row r="96" spans="1:6" x14ac:dyDescent="0.35">
      <c r="A96" s="1">
        <v>27</v>
      </c>
      <c r="B96" s="1">
        <v>50</v>
      </c>
      <c r="C96" s="1">
        <v>21</v>
      </c>
      <c r="D96" s="1" t="s">
        <v>5</v>
      </c>
      <c r="E96" s="1">
        <f t="shared" si="2"/>
        <v>4.0564373897707229E-2</v>
      </c>
      <c r="F96" s="1"/>
    </row>
    <row r="97" spans="1:6" x14ac:dyDescent="0.35">
      <c r="A97" s="1">
        <v>15</v>
      </c>
      <c r="B97" s="1">
        <v>35</v>
      </c>
      <c r="C97" s="1">
        <v>13</v>
      </c>
      <c r="D97" s="1" t="s">
        <v>5</v>
      </c>
      <c r="E97" s="1">
        <f t="shared" si="2"/>
        <v>0.10256410256410257</v>
      </c>
      <c r="F97" s="1"/>
    </row>
    <row r="98" spans="1:6" x14ac:dyDescent="0.35">
      <c r="A98" s="1">
        <v>40</v>
      </c>
      <c r="B98" s="1">
        <v>55</v>
      </c>
      <c r="C98" s="1">
        <v>62</v>
      </c>
      <c r="D98" s="1" t="s">
        <v>4</v>
      </c>
      <c r="E98" s="1">
        <f t="shared" si="2"/>
        <v>6.0483870967741934E-3</v>
      </c>
      <c r="F98" s="1"/>
    </row>
    <row r="99" spans="1:6" x14ac:dyDescent="0.35">
      <c r="A99" s="1">
        <v>67</v>
      </c>
      <c r="B99" s="1">
        <v>75</v>
      </c>
      <c r="C99" s="1">
        <v>119</v>
      </c>
      <c r="D99" s="1" t="s">
        <v>4</v>
      </c>
      <c r="E99" s="1">
        <f t="shared" si="2"/>
        <v>1.0033864291985443E-3</v>
      </c>
      <c r="F99" s="1"/>
    </row>
    <row r="100" spans="1:6" x14ac:dyDescent="0.35">
      <c r="A100" s="1">
        <v>40</v>
      </c>
      <c r="B100" s="1">
        <v>55</v>
      </c>
      <c r="C100" s="1">
        <v>62</v>
      </c>
      <c r="D100" s="1" t="s">
        <v>4</v>
      </c>
      <c r="E100" s="1">
        <f t="shared" si="2"/>
        <v>6.0483870967741934E-3</v>
      </c>
      <c r="F1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A2C2-D5EF-488D-AEDE-AFE9814676A9}">
  <dimension ref="A1:I110"/>
  <sheetViews>
    <sheetView workbookViewId="0">
      <selection activeCell="F1" sqref="F1"/>
    </sheetView>
  </sheetViews>
  <sheetFormatPr defaultRowHeight="14.5" x14ac:dyDescent="0.35"/>
  <cols>
    <col min="1" max="4" width="13.6328125" customWidth="1"/>
    <col min="6" max="6" width="13.6328125" customWidth="1"/>
    <col min="7" max="7" width="6.08984375" customWidth="1"/>
    <col min="8" max="8" width="8.7265625" customWidth="1"/>
    <col min="9" max="32" width="13.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4" t="s">
        <v>7</v>
      </c>
    </row>
    <row r="2" spans="1:9" x14ac:dyDescent="0.35">
      <c r="A2" s="1">
        <v>40</v>
      </c>
      <c r="B2" s="1">
        <v>55</v>
      </c>
      <c r="C2" s="1">
        <v>62</v>
      </c>
      <c r="D2" s="1" t="s">
        <v>4</v>
      </c>
      <c r="E2" s="1">
        <f>((B2/A2)-1)/C2</f>
        <v>6.0483870967741934E-3</v>
      </c>
      <c r="F2" s="1"/>
    </row>
    <row r="3" spans="1:9" x14ac:dyDescent="0.35">
      <c r="A3" s="1">
        <v>67</v>
      </c>
      <c r="B3" s="1">
        <v>75</v>
      </c>
      <c r="C3" s="1">
        <v>119</v>
      </c>
      <c r="D3" s="1" t="s">
        <v>4</v>
      </c>
      <c r="E3" s="1">
        <f t="shared" ref="E3:E66" si="0">((B3/A3)-1)/C3</f>
        <v>1.0033864291985443E-3</v>
      </c>
      <c r="F3" s="1"/>
    </row>
    <row r="4" spans="1:9" x14ac:dyDescent="0.35">
      <c r="A4" s="1">
        <v>78</v>
      </c>
      <c r="B4" s="1">
        <v>80</v>
      </c>
      <c r="C4" s="1">
        <v>162</v>
      </c>
      <c r="D4" s="1" t="s">
        <v>4</v>
      </c>
      <c r="E4" s="1">
        <f t="shared" si="0"/>
        <v>1.5827793605571326E-4</v>
      </c>
      <c r="F4" s="1"/>
      <c r="H4" s="4" t="s">
        <v>8</v>
      </c>
      <c r="I4" s="1">
        <f>AVERAGE(F2:F100)</f>
        <v>1.3517531803078667E-2</v>
      </c>
    </row>
    <row r="5" spans="1:9" x14ac:dyDescent="0.35">
      <c r="A5" s="1">
        <v>49</v>
      </c>
      <c r="B5" s="1">
        <v>60</v>
      </c>
      <c r="C5" s="1">
        <v>89</v>
      </c>
      <c r="D5" s="2" t="s">
        <v>4</v>
      </c>
      <c r="E5" s="2">
        <f t="shared" si="0"/>
        <v>2.522357257509746E-3</v>
      </c>
      <c r="F5" s="1"/>
    </row>
    <row r="6" spans="1:9" x14ac:dyDescent="0.35">
      <c r="A6" s="1">
        <v>27</v>
      </c>
      <c r="B6" s="1">
        <v>50</v>
      </c>
      <c r="C6" s="1">
        <v>21</v>
      </c>
      <c r="D6" s="2" t="s">
        <v>5</v>
      </c>
      <c r="E6" s="2">
        <f t="shared" si="0"/>
        <v>4.0564373897707229E-2</v>
      </c>
      <c r="F6" s="1">
        <f>GEOMEAN(E5:E6)</f>
        <v>1.0115228267183135E-2</v>
      </c>
    </row>
    <row r="7" spans="1:9" x14ac:dyDescent="0.35">
      <c r="A7" s="1">
        <v>11</v>
      </c>
      <c r="B7" s="1">
        <v>30</v>
      </c>
      <c r="C7" s="1">
        <v>7</v>
      </c>
      <c r="D7" s="1" t="s">
        <v>5</v>
      </c>
      <c r="E7" s="1">
        <f t="shared" si="0"/>
        <v>0.24675324675324672</v>
      </c>
      <c r="F7" s="1"/>
    </row>
    <row r="8" spans="1:9" x14ac:dyDescent="0.35">
      <c r="A8" s="1">
        <v>15</v>
      </c>
      <c r="B8" s="1">
        <v>35</v>
      </c>
      <c r="C8" s="1">
        <v>13</v>
      </c>
      <c r="D8" s="1" t="s">
        <v>5</v>
      </c>
      <c r="E8" s="1">
        <f t="shared" si="0"/>
        <v>0.10256410256410257</v>
      </c>
      <c r="F8" s="1"/>
    </row>
    <row r="9" spans="1:9" x14ac:dyDescent="0.35">
      <c r="A9" s="1">
        <v>49</v>
      </c>
      <c r="B9" s="1">
        <v>60</v>
      </c>
      <c r="C9" s="1">
        <v>89</v>
      </c>
      <c r="D9" s="2" t="s">
        <v>4</v>
      </c>
      <c r="E9" s="2">
        <f t="shared" si="0"/>
        <v>2.522357257509746E-3</v>
      </c>
      <c r="F9" s="1"/>
    </row>
    <row r="10" spans="1:9" x14ac:dyDescent="0.35">
      <c r="A10" s="1">
        <v>27</v>
      </c>
      <c r="B10" s="1">
        <v>50</v>
      </c>
      <c r="C10" s="1">
        <v>21</v>
      </c>
      <c r="D10" s="2" t="s">
        <v>5</v>
      </c>
      <c r="E10" s="2">
        <f t="shared" si="0"/>
        <v>4.0564373897707229E-2</v>
      </c>
      <c r="F10" s="1">
        <f>GEOMEAN(E9:E10)</f>
        <v>1.0115228267183135E-2</v>
      </c>
    </row>
    <row r="11" spans="1:9" x14ac:dyDescent="0.35">
      <c r="A11" s="1">
        <v>78</v>
      </c>
      <c r="B11" s="1">
        <v>80</v>
      </c>
      <c r="C11" s="1">
        <v>162</v>
      </c>
      <c r="D11" s="1" t="s">
        <v>4</v>
      </c>
      <c r="E11" s="1">
        <f t="shared" si="0"/>
        <v>1.5827793605571326E-4</v>
      </c>
      <c r="F11" s="1"/>
    </row>
    <row r="12" spans="1:9" x14ac:dyDescent="0.35">
      <c r="A12" s="1">
        <v>40</v>
      </c>
      <c r="B12" s="1">
        <v>55</v>
      </c>
      <c r="C12" s="1">
        <v>62</v>
      </c>
      <c r="D12" s="2" t="s">
        <v>4</v>
      </c>
      <c r="E12" s="2">
        <f t="shared" si="0"/>
        <v>6.0483870967741934E-3</v>
      </c>
      <c r="F12" s="1"/>
    </row>
    <row r="13" spans="1:9" x14ac:dyDescent="0.35">
      <c r="A13" s="1">
        <v>11</v>
      </c>
      <c r="B13" s="1">
        <v>30</v>
      </c>
      <c r="C13" s="1">
        <v>7</v>
      </c>
      <c r="D13" s="2" t="s">
        <v>5</v>
      </c>
      <c r="E13" s="2">
        <f t="shared" si="0"/>
        <v>0.24675324675324672</v>
      </c>
      <c r="F13" s="1">
        <f>GEOMEAN(E12:E13)</f>
        <v>3.8632358894448528E-2</v>
      </c>
    </row>
    <row r="14" spans="1:9" x14ac:dyDescent="0.35">
      <c r="A14" s="1">
        <v>67</v>
      </c>
      <c r="B14" s="1">
        <v>75</v>
      </c>
      <c r="C14" s="1">
        <v>119</v>
      </c>
      <c r="D14" s="2" t="s">
        <v>4</v>
      </c>
      <c r="E14" s="2">
        <f t="shared" si="0"/>
        <v>1.0033864291985443E-3</v>
      </c>
      <c r="F14" s="1"/>
    </row>
    <row r="15" spans="1:9" x14ac:dyDescent="0.35">
      <c r="A15" s="1">
        <v>15</v>
      </c>
      <c r="B15" s="1">
        <v>35</v>
      </c>
      <c r="C15" s="1">
        <v>13</v>
      </c>
      <c r="D15" s="2" t="s">
        <v>5</v>
      </c>
      <c r="E15" s="2">
        <f t="shared" si="0"/>
        <v>0.10256410256410257</v>
      </c>
      <c r="F15" s="1">
        <f>GEOMEAN(E14:E15)</f>
        <v>1.0144527028686363E-2</v>
      </c>
    </row>
    <row r="16" spans="1:9" x14ac:dyDescent="0.35">
      <c r="A16" s="1">
        <v>67</v>
      </c>
      <c r="B16" s="1">
        <v>75</v>
      </c>
      <c r="C16" s="1">
        <v>119</v>
      </c>
      <c r="D16" s="2" t="s">
        <v>4</v>
      </c>
      <c r="E16" s="2">
        <f t="shared" si="0"/>
        <v>1.0033864291985443E-3</v>
      </c>
      <c r="F16" s="1"/>
    </row>
    <row r="17" spans="1:6" x14ac:dyDescent="0.35">
      <c r="A17" s="1">
        <v>15</v>
      </c>
      <c r="B17" s="1">
        <v>35</v>
      </c>
      <c r="C17" s="1">
        <v>13</v>
      </c>
      <c r="D17" s="2" t="s">
        <v>5</v>
      </c>
      <c r="E17" s="2">
        <f t="shared" si="0"/>
        <v>0.10256410256410257</v>
      </c>
      <c r="F17" s="1">
        <f>GEOMEAN(E16:E17)</f>
        <v>1.0144527028686363E-2</v>
      </c>
    </row>
    <row r="18" spans="1:6" x14ac:dyDescent="0.35">
      <c r="A18" s="1">
        <v>78</v>
      </c>
      <c r="B18" s="1">
        <v>80</v>
      </c>
      <c r="C18" s="1">
        <v>162</v>
      </c>
      <c r="D18" s="2" t="s">
        <v>4</v>
      </c>
      <c r="E18" s="2">
        <f t="shared" si="0"/>
        <v>1.5827793605571326E-4</v>
      </c>
      <c r="F18" s="1"/>
    </row>
    <row r="19" spans="1:6" x14ac:dyDescent="0.35">
      <c r="A19" s="1">
        <v>40</v>
      </c>
      <c r="B19" s="1">
        <v>55</v>
      </c>
      <c r="C19" s="1">
        <v>62</v>
      </c>
      <c r="D19" s="2" t="s">
        <v>5</v>
      </c>
      <c r="E19" s="2">
        <f t="shared" si="0"/>
        <v>6.0483870967741934E-3</v>
      </c>
      <c r="F19" s="1">
        <f>GEOMEAN(E18:E19)</f>
        <v>9.7843049121714679E-4</v>
      </c>
    </row>
    <row r="20" spans="1:6" x14ac:dyDescent="0.35">
      <c r="A20" s="1">
        <v>27</v>
      </c>
      <c r="B20" s="1">
        <v>50</v>
      </c>
      <c r="C20" s="1">
        <v>21</v>
      </c>
      <c r="D20" s="1" t="s">
        <v>5</v>
      </c>
      <c r="E20" s="1">
        <f t="shared" si="0"/>
        <v>4.0564373897707229E-2</v>
      </c>
      <c r="F20" s="1"/>
    </row>
    <row r="21" spans="1:6" x14ac:dyDescent="0.35">
      <c r="A21" s="1">
        <v>11</v>
      </c>
      <c r="B21" s="1">
        <v>30</v>
      </c>
      <c r="C21" s="1">
        <v>7</v>
      </c>
      <c r="D21" s="1" t="s">
        <v>5</v>
      </c>
      <c r="E21" s="1">
        <f t="shared" si="0"/>
        <v>0.24675324675324672</v>
      </c>
      <c r="F21" s="1"/>
    </row>
    <row r="22" spans="1:6" x14ac:dyDescent="0.35">
      <c r="A22" s="1">
        <v>49</v>
      </c>
      <c r="B22" s="1">
        <v>60</v>
      </c>
      <c r="C22" s="1">
        <v>89</v>
      </c>
      <c r="D22" s="1" t="s">
        <v>4</v>
      </c>
      <c r="E22" s="1">
        <f t="shared" si="0"/>
        <v>2.522357257509746E-3</v>
      </c>
      <c r="F22" s="1"/>
    </row>
    <row r="23" spans="1:6" x14ac:dyDescent="0.35">
      <c r="A23" s="1">
        <v>40</v>
      </c>
      <c r="B23" s="1">
        <v>55</v>
      </c>
      <c r="C23" s="1">
        <v>62</v>
      </c>
      <c r="D23" s="2" t="s">
        <v>4</v>
      </c>
      <c r="E23" s="2">
        <f t="shared" si="0"/>
        <v>6.0483870967741934E-3</v>
      </c>
      <c r="F23" s="1"/>
    </row>
    <row r="24" spans="1:6" x14ac:dyDescent="0.35">
      <c r="A24" s="1">
        <v>27</v>
      </c>
      <c r="B24" s="1">
        <v>50</v>
      </c>
      <c r="C24" s="1">
        <v>21</v>
      </c>
      <c r="D24" s="2" t="s">
        <v>5</v>
      </c>
      <c r="E24" s="2">
        <f t="shared" si="0"/>
        <v>4.0564373897707229E-2</v>
      </c>
      <c r="F24" s="1">
        <f>GEOMEAN(E23:E24)</f>
        <v>1.5663621409866119E-2</v>
      </c>
    </row>
    <row r="25" spans="1:6" x14ac:dyDescent="0.35">
      <c r="A25" s="1">
        <v>11</v>
      </c>
      <c r="B25" s="1">
        <v>30</v>
      </c>
      <c r="C25" s="1">
        <v>7</v>
      </c>
      <c r="D25" s="1" t="s">
        <v>5</v>
      </c>
      <c r="E25" s="1">
        <f t="shared" si="0"/>
        <v>0.24675324675324672</v>
      </c>
      <c r="F25" s="1"/>
    </row>
    <row r="26" spans="1:6" x14ac:dyDescent="0.35">
      <c r="A26" s="1">
        <v>15</v>
      </c>
      <c r="B26" s="1">
        <v>35</v>
      </c>
      <c r="C26" s="1">
        <v>13</v>
      </c>
      <c r="D26" s="1" t="s">
        <v>5</v>
      </c>
      <c r="E26" s="1">
        <f t="shared" si="0"/>
        <v>0.10256410256410257</v>
      </c>
      <c r="F26" s="1"/>
    </row>
    <row r="27" spans="1:6" x14ac:dyDescent="0.35">
      <c r="A27" s="1">
        <v>67</v>
      </c>
      <c r="B27" s="1">
        <v>75</v>
      </c>
      <c r="C27" s="1">
        <v>119</v>
      </c>
      <c r="D27" s="1" t="s">
        <v>4</v>
      </c>
      <c r="E27" s="1">
        <f t="shared" si="0"/>
        <v>1.0033864291985443E-3</v>
      </c>
      <c r="F27" s="1"/>
    </row>
    <row r="28" spans="1:6" x14ac:dyDescent="0.35">
      <c r="A28" s="1">
        <v>49</v>
      </c>
      <c r="B28" s="1">
        <v>60</v>
      </c>
      <c r="C28" s="1">
        <v>89</v>
      </c>
      <c r="D28" s="1" t="s">
        <v>4</v>
      </c>
      <c r="E28" s="1">
        <f t="shared" si="0"/>
        <v>2.522357257509746E-3</v>
      </c>
      <c r="F28" s="1"/>
    </row>
    <row r="29" spans="1:6" x14ac:dyDescent="0.35">
      <c r="A29" s="1">
        <v>78</v>
      </c>
      <c r="B29" s="1">
        <v>80</v>
      </c>
      <c r="C29" s="1">
        <v>162</v>
      </c>
      <c r="D29" s="1" t="s">
        <v>4</v>
      </c>
      <c r="E29" s="1">
        <f t="shared" si="0"/>
        <v>1.5827793605571326E-4</v>
      </c>
      <c r="F29" s="1"/>
    </row>
    <row r="30" spans="1:6" x14ac:dyDescent="0.35">
      <c r="A30" s="1">
        <v>78</v>
      </c>
      <c r="B30" s="1">
        <v>80</v>
      </c>
      <c r="C30" s="1">
        <v>162</v>
      </c>
      <c r="D30" s="2" t="s">
        <v>4</v>
      </c>
      <c r="E30" s="2">
        <f t="shared" si="0"/>
        <v>1.5827793605571326E-4</v>
      </c>
      <c r="F30" s="1"/>
    </row>
    <row r="31" spans="1:6" x14ac:dyDescent="0.35">
      <c r="A31" s="1">
        <v>11</v>
      </c>
      <c r="B31" s="1">
        <v>30</v>
      </c>
      <c r="C31" s="1">
        <v>7</v>
      </c>
      <c r="D31" s="2" t="s">
        <v>5</v>
      </c>
      <c r="E31" s="2">
        <f t="shared" si="0"/>
        <v>0.24675324675324672</v>
      </c>
      <c r="F31" s="1">
        <f>GEOMEAN(E30:E31)</f>
        <v>6.2494475444754335E-3</v>
      </c>
    </row>
    <row r="32" spans="1:6" x14ac:dyDescent="0.35">
      <c r="A32" s="1">
        <v>40</v>
      </c>
      <c r="B32" s="1">
        <v>55</v>
      </c>
      <c r="C32" s="1">
        <v>62</v>
      </c>
      <c r="D32" s="2" t="s">
        <v>4</v>
      </c>
      <c r="E32" s="2">
        <f t="shared" si="0"/>
        <v>6.0483870967741934E-3</v>
      </c>
      <c r="F32" s="1"/>
    </row>
    <row r="33" spans="1:6" x14ac:dyDescent="0.35">
      <c r="A33" s="1">
        <v>15</v>
      </c>
      <c r="B33" s="1">
        <v>35</v>
      </c>
      <c r="C33" s="1">
        <v>13</v>
      </c>
      <c r="D33" s="2" t="s">
        <v>5</v>
      </c>
      <c r="E33" s="2">
        <f t="shared" si="0"/>
        <v>0.10256410256410257</v>
      </c>
      <c r="F33" s="1">
        <f>GEOMEAN(E32:E33)</f>
        <v>2.4906774069335894E-2</v>
      </c>
    </row>
    <row r="34" spans="1:6" x14ac:dyDescent="0.35">
      <c r="A34" s="1">
        <v>27</v>
      </c>
      <c r="B34" s="1">
        <v>50</v>
      </c>
      <c r="C34" s="1">
        <v>21</v>
      </c>
      <c r="D34" s="1" t="s">
        <v>5</v>
      </c>
      <c r="E34" s="1">
        <f t="shared" si="0"/>
        <v>4.0564373897707229E-2</v>
      </c>
      <c r="F34" s="1"/>
    </row>
    <row r="35" spans="1:6" x14ac:dyDescent="0.35">
      <c r="A35" s="1">
        <v>67</v>
      </c>
      <c r="B35" s="1">
        <v>75</v>
      </c>
      <c r="C35" s="1">
        <v>119</v>
      </c>
      <c r="D35" s="1" t="s">
        <v>4</v>
      </c>
      <c r="E35" s="1">
        <f t="shared" si="0"/>
        <v>1.0033864291985443E-3</v>
      </c>
      <c r="F35" s="1"/>
    </row>
    <row r="36" spans="1:6" x14ac:dyDescent="0.35">
      <c r="A36" s="1">
        <v>49</v>
      </c>
      <c r="B36" s="1">
        <v>60</v>
      </c>
      <c r="C36" s="1">
        <v>89</v>
      </c>
      <c r="D36" s="1" t="s">
        <v>4</v>
      </c>
      <c r="E36" s="1">
        <f t="shared" si="0"/>
        <v>2.522357257509746E-3</v>
      </c>
      <c r="F36" s="1"/>
    </row>
    <row r="37" spans="1:6" x14ac:dyDescent="0.35">
      <c r="A37" s="1">
        <v>78</v>
      </c>
      <c r="B37" s="1">
        <v>80</v>
      </c>
      <c r="C37" s="1">
        <v>162</v>
      </c>
      <c r="D37" s="2" t="s">
        <v>4</v>
      </c>
      <c r="E37" s="2">
        <f t="shared" si="0"/>
        <v>1.5827793605571326E-4</v>
      </c>
      <c r="F37" s="1"/>
    </row>
    <row r="38" spans="1:6" x14ac:dyDescent="0.35">
      <c r="A38" s="1">
        <v>15</v>
      </c>
      <c r="B38" s="1">
        <v>35</v>
      </c>
      <c r="C38" s="1">
        <v>13</v>
      </c>
      <c r="D38" s="2" t="s">
        <v>5</v>
      </c>
      <c r="E38" s="2">
        <f t="shared" si="0"/>
        <v>0.10256410256410257</v>
      </c>
      <c r="F38" s="1">
        <f>GEOMEAN(E37:E38)</f>
        <v>4.0290984682994089E-3</v>
      </c>
    </row>
    <row r="39" spans="1:6" x14ac:dyDescent="0.35">
      <c r="A39" s="1">
        <v>49</v>
      </c>
      <c r="B39" s="1">
        <v>60</v>
      </c>
      <c r="C39" s="1">
        <v>89</v>
      </c>
      <c r="D39" s="1" t="s">
        <v>4</v>
      </c>
      <c r="E39" s="1">
        <f t="shared" si="0"/>
        <v>2.522357257509746E-3</v>
      </c>
      <c r="F39" s="1"/>
    </row>
    <row r="40" spans="1:6" x14ac:dyDescent="0.35">
      <c r="A40" s="1">
        <v>67</v>
      </c>
      <c r="B40" s="1">
        <v>75</v>
      </c>
      <c r="C40" s="1">
        <v>119</v>
      </c>
      <c r="D40" s="1" t="s">
        <v>4</v>
      </c>
      <c r="E40" s="1">
        <f t="shared" si="0"/>
        <v>1.0033864291985443E-3</v>
      </c>
      <c r="F40" s="1"/>
    </row>
    <row r="41" spans="1:6" x14ac:dyDescent="0.35">
      <c r="A41" s="1">
        <v>40</v>
      </c>
      <c r="B41" s="1">
        <v>55</v>
      </c>
      <c r="C41" s="1">
        <v>62</v>
      </c>
      <c r="D41" s="2" t="s">
        <v>4</v>
      </c>
      <c r="E41" s="2">
        <f t="shared" si="0"/>
        <v>6.0483870967741934E-3</v>
      </c>
      <c r="F41" s="1"/>
    </row>
    <row r="42" spans="1:6" x14ac:dyDescent="0.35">
      <c r="A42" s="1">
        <v>27</v>
      </c>
      <c r="B42" s="1">
        <v>50</v>
      </c>
      <c r="C42" s="1">
        <v>21</v>
      </c>
      <c r="D42" s="2" t="s">
        <v>5</v>
      </c>
      <c r="E42" s="2">
        <f t="shared" si="0"/>
        <v>4.0564373897707229E-2</v>
      </c>
      <c r="F42" s="1">
        <f t="shared" ref="F42:F69" si="1">GEOMEAN(E41:E42)</f>
        <v>1.5663621409866119E-2</v>
      </c>
    </row>
    <row r="43" spans="1:6" x14ac:dyDescent="0.35">
      <c r="A43" s="1">
        <v>11</v>
      </c>
      <c r="B43" s="1">
        <v>30</v>
      </c>
      <c r="C43" s="1">
        <v>7</v>
      </c>
      <c r="D43" s="1" t="s">
        <v>5</v>
      </c>
      <c r="E43" s="1">
        <f t="shared" si="0"/>
        <v>0.24675324675324672</v>
      </c>
      <c r="F43" s="1"/>
    </row>
    <row r="44" spans="1:6" x14ac:dyDescent="0.35">
      <c r="A44" s="1">
        <v>40</v>
      </c>
      <c r="B44" s="1">
        <v>55</v>
      </c>
      <c r="C44" s="1">
        <v>62</v>
      </c>
      <c r="D44" s="1" t="s">
        <v>4</v>
      </c>
      <c r="E44" s="1">
        <f t="shared" si="0"/>
        <v>6.0483870967741934E-3</v>
      </c>
      <c r="F44" s="1"/>
    </row>
    <row r="45" spans="1:6" x14ac:dyDescent="0.35">
      <c r="A45" s="1">
        <v>78</v>
      </c>
      <c r="B45" s="1">
        <v>80</v>
      </c>
      <c r="C45" s="1">
        <v>162</v>
      </c>
      <c r="D45" s="2" t="s">
        <v>4</v>
      </c>
      <c r="E45" s="2">
        <f t="shared" si="0"/>
        <v>1.5827793605571326E-4</v>
      </c>
      <c r="F45" s="1"/>
    </row>
    <row r="46" spans="1:6" x14ac:dyDescent="0.35">
      <c r="A46" s="1">
        <v>27</v>
      </c>
      <c r="B46" s="1">
        <v>50</v>
      </c>
      <c r="C46" s="1">
        <v>21</v>
      </c>
      <c r="D46" s="2" t="s">
        <v>5</v>
      </c>
      <c r="E46" s="2">
        <f t="shared" si="0"/>
        <v>4.0564373897707229E-2</v>
      </c>
      <c r="F46" s="1">
        <f>GEOMEAN(E45:E46)</f>
        <v>2.5338597786620613E-3</v>
      </c>
    </row>
    <row r="47" spans="1:6" x14ac:dyDescent="0.35">
      <c r="A47" s="1">
        <v>15</v>
      </c>
      <c r="B47" s="1">
        <v>35</v>
      </c>
      <c r="C47" s="1">
        <v>13</v>
      </c>
      <c r="D47" s="1" t="s">
        <v>5</v>
      </c>
      <c r="E47" s="1">
        <f t="shared" si="0"/>
        <v>0.10256410256410257</v>
      </c>
      <c r="F47" s="1"/>
    </row>
    <row r="48" spans="1:6" x14ac:dyDescent="0.35">
      <c r="A48" s="1">
        <v>11</v>
      </c>
      <c r="B48" s="1">
        <v>30</v>
      </c>
      <c r="C48" s="1">
        <v>7</v>
      </c>
      <c r="D48" s="1" t="s">
        <v>5</v>
      </c>
      <c r="E48" s="1">
        <f t="shared" si="0"/>
        <v>0.24675324675324672</v>
      </c>
      <c r="F48" s="1"/>
    </row>
    <row r="49" spans="1:6" x14ac:dyDescent="0.35">
      <c r="A49" s="1">
        <v>67</v>
      </c>
      <c r="B49" s="1">
        <v>75</v>
      </c>
      <c r="C49" s="1">
        <v>119</v>
      </c>
      <c r="D49" s="1" t="s">
        <v>4</v>
      </c>
      <c r="E49" s="1">
        <f t="shared" si="0"/>
        <v>1.0033864291985443E-3</v>
      </c>
      <c r="F49" s="1"/>
    </row>
    <row r="50" spans="1:6" x14ac:dyDescent="0.35">
      <c r="A50" s="1">
        <v>49</v>
      </c>
      <c r="B50" s="1">
        <v>60</v>
      </c>
      <c r="C50" s="1">
        <v>89</v>
      </c>
      <c r="D50" s="1" t="s">
        <v>4</v>
      </c>
      <c r="E50" s="1">
        <f t="shared" si="0"/>
        <v>2.522357257509746E-3</v>
      </c>
      <c r="F50" s="1"/>
    </row>
    <row r="51" spans="1:6" x14ac:dyDescent="0.35">
      <c r="A51" s="1">
        <v>40</v>
      </c>
      <c r="B51" s="1">
        <v>55</v>
      </c>
      <c r="C51" s="1">
        <v>62</v>
      </c>
      <c r="D51" s="1" t="s">
        <v>4</v>
      </c>
      <c r="E51" s="1">
        <f t="shared" si="0"/>
        <v>6.0483870967741934E-3</v>
      </c>
      <c r="F51" s="1"/>
    </row>
    <row r="52" spans="1:6" x14ac:dyDescent="0.35">
      <c r="A52" s="1">
        <v>78</v>
      </c>
      <c r="B52" s="1">
        <v>80</v>
      </c>
      <c r="C52" s="1">
        <v>162</v>
      </c>
      <c r="D52" s="2" t="s">
        <v>4</v>
      </c>
      <c r="E52" s="2">
        <f t="shared" si="0"/>
        <v>1.5827793605571326E-4</v>
      </c>
      <c r="F52" s="1"/>
    </row>
    <row r="53" spans="1:6" x14ac:dyDescent="0.35">
      <c r="A53" s="1">
        <v>15</v>
      </c>
      <c r="B53" s="1">
        <v>35</v>
      </c>
      <c r="C53" s="1">
        <v>13</v>
      </c>
      <c r="D53" s="2" t="s">
        <v>5</v>
      </c>
      <c r="E53" s="2">
        <f t="shared" si="0"/>
        <v>0.10256410256410257</v>
      </c>
      <c r="F53" s="1">
        <f>GEOMEAN(E52:E53)</f>
        <v>4.0290984682994089E-3</v>
      </c>
    </row>
    <row r="54" spans="1:6" x14ac:dyDescent="0.35">
      <c r="A54" s="1">
        <v>27</v>
      </c>
      <c r="B54" s="1">
        <v>50</v>
      </c>
      <c r="C54" s="1">
        <v>21</v>
      </c>
      <c r="D54" s="1" t="s">
        <v>5</v>
      </c>
      <c r="E54" s="1">
        <f t="shared" si="0"/>
        <v>4.0564373897707229E-2</v>
      </c>
      <c r="F54" s="1"/>
    </row>
    <row r="55" spans="1:6" x14ac:dyDescent="0.35">
      <c r="A55" s="1">
        <v>11</v>
      </c>
      <c r="B55" s="1">
        <v>30</v>
      </c>
      <c r="C55" s="1">
        <v>7</v>
      </c>
      <c r="D55" s="1" t="s">
        <v>5</v>
      </c>
      <c r="E55" s="1">
        <f t="shared" si="0"/>
        <v>0.24675324675324672</v>
      </c>
      <c r="F55" s="1"/>
    </row>
    <row r="56" spans="1:6" x14ac:dyDescent="0.35">
      <c r="A56" s="1">
        <v>67</v>
      </c>
      <c r="B56" s="1">
        <v>75</v>
      </c>
      <c r="C56" s="1">
        <v>119</v>
      </c>
      <c r="D56" s="1" t="s">
        <v>4</v>
      </c>
      <c r="E56" s="1">
        <f t="shared" si="0"/>
        <v>1.0033864291985443E-3</v>
      </c>
      <c r="F56" s="1"/>
    </row>
    <row r="57" spans="1:6" x14ac:dyDescent="0.35">
      <c r="A57" s="1">
        <v>49</v>
      </c>
      <c r="B57" s="1">
        <v>60</v>
      </c>
      <c r="C57" s="1">
        <v>89</v>
      </c>
      <c r="D57" s="1" t="s">
        <v>4</v>
      </c>
      <c r="E57" s="1">
        <f t="shared" si="0"/>
        <v>2.522357257509746E-3</v>
      </c>
      <c r="F57" s="1"/>
    </row>
    <row r="58" spans="1:6" x14ac:dyDescent="0.35">
      <c r="A58" s="1">
        <v>49</v>
      </c>
      <c r="B58" s="1">
        <v>60</v>
      </c>
      <c r="C58" s="1">
        <v>89</v>
      </c>
      <c r="D58" s="1" t="s">
        <v>4</v>
      </c>
      <c r="E58" s="1">
        <f t="shared" si="0"/>
        <v>2.522357257509746E-3</v>
      </c>
      <c r="F58" s="1"/>
    </row>
    <row r="59" spans="1:6" x14ac:dyDescent="0.35">
      <c r="A59" s="1">
        <v>78</v>
      </c>
      <c r="B59" s="1">
        <v>80</v>
      </c>
      <c r="C59" s="1">
        <v>162</v>
      </c>
      <c r="D59" s="1" t="s">
        <v>4</v>
      </c>
      <c r="E59" s="1">
        <f t="shared" si="0"/>
        <v>1.5827793605571326E-4</v>
      </c>
      <c r="F59" s="1"/>
    </row>
    <row r="60" spans="1:6" x14ac:dyDescent="0.35">
      <c r="A60" s="1">
        <v>67</v>
      </c>
      <c r="B60" s="1">
        <v>75</v>
      </c>
      <c r="C60" s="1">
        <v>119</v>
      </c>
      <c r="D60" s="2" t="s">
        <v>4</v>
      </c>
      <c r="E60" s="2">
        <f t="shared" si="0"/>
        <v>1.0033864291985443E-3</v>
      </c>
      <c r="F60" s="1"/>
    </row>
    <row r="61" spans="1:6" x14ac:dyDescent="0.35">
      <c r="A61" s="1">
        <v>11</v>
      </c>
      <c r="B61" s="1">
        <v>30</v>
      </c>
      <c r="C61" s="1">
        <v>7</v>
      </c>
      <c r="D61" s="2" t="s">
        <v>5</v>
      </c>
      <c r="E61" s="2">
        <f t="shared" si="0"/>
        <v>0.24675324675324672</v>
      </c>
      <c r="F61" s="1">
        <f>GEOMEAN(E60:E61)</f>
        <v>1.5734956598379531E-2</v>
      </c>
    </row>
    <row r="62" spans="1:6" x14ac:dyDescent="0.35">
      <c r="A62" s="1">
        <v>40</v>
      </c>
      <c r="B62" s="1">
        <v>55</v>
      </c>
      <c r="C62" s="1">
        <v>62</v>
      </c>
      <c r="D62" s="2" t="s">
        <v>4</v>
      </c>
      <c r="E62" s="2">
        <f t="shared" si="0"/>
        <v>6.0483870967741934E-3</v>
      </c>
      <c r="F62" s="1"/>
    </row>
    <row r="63" spans="1:6" x14ac:dyDescent="0.35">
      <c r="A63" s="1">
        <v>27</v>
      </c>
      <c r="B63" s="1">
        <v>50</v>
      </c>
      <c r="C63" s="1">
        <v>21</v>
      </c>
      <c r="D63" s="2" t="s">
        <v>5</v>
      </c>
      <c r="E63" s="2">
        <f t="shared" si="0"/>
        <v>4.0564373897707229E-2</v>
      </c>
      <c r="F63" s="1">
        <f>GEOMEAN(E62:E63)</f>
        <v>1.5663621409866119E-2</v>
      </c>
    </row>
    <row r="64" spans="1:6" x14ac:dyDescent="0.35">
      <c r="A64" s="1">
        <v>15</v>
      </c>
      <c r="B64" s="1">
        <v>35</v>
      </c>
      <c r="C64" s="1">
        <v>13</v>
      </c>
      <c r="D64" s="1" t="s">
        <v>5</v>
      </c>
      <c r="E64" s="1">
        <f t="shared" si="0"/>
        <v>0.10256410256410257</v>
      </c>
      <c r="F64" s="1"/>
    </row>
    <row r="65" spans="1:6" x14ac:dyDescent="0.35">
      <c r="A65" s="1">
        <v>27</v>
      </c>
      <c r="B65" s="1">
        <v>50</v>
      </c>
      <c r="C65" s="1">
        <v>21</v>
      </c>
      <c r="D65" s="1" t="s">
        <v>5</v>
      </c>
      <c r="E65" s="1">
        <f t="shared" si="0"/>
        <v>4.0564373897707229E-2</v>
      </c>
      <c r="F65" s="1"/>
    </row>
    <row r="66" spans="1:6" x14ac:dyDescent="0.35">
      <c r="A66" s="1">
        <v>78</v>
      </c>
      <c r="B66" s="1">
        <v>80</v>
      </c>
      <c r="C66" s="1">
        <v>162</v>
      </c>
      <c r="D66" s="2" t="s">
        <v>4</v>
      </c>
      <c r="E66" s="2">
        <f t="shared" si="0"/>
        <v>1.5827793605571326E-4</v>
      </c>
      <c r="F66" s="1"/>
    </row>
    <row r="67" spans="1:6" x14ac:dyDescent="0.35">
      <c r="A67" s="1">
        <v>11</v>
      </c>
      <c r="B67" s="1">
        <v>30</v>
      </c>
      <c r="C67" s="1">
        <v>7</v>
      </c>
      <c r="D67" s="2" t="s">
        <v>5</v>
      </c>
      <c r="E67" s="2">
        <f t="shared" ref="E67:E100" si="2">((B67/A67)-1)/C67</f>
        <v>0.24675324675324672</v>
      </c>
      <c r="F67" s="1">
        <f>GEOMEAN(E66:E67)</f>
        <v>6.2494475444754335E-3</v>
      </c>
    </row>
    <row r="68" spans="1:6" x14ac:dyDescent="0.35">
      <c r="A68" s="1">
        <v>40</v>
      </c>
      <c r="B68" s="1">
        <v>55</v>
      </c>
      <c r="C68" s="1">
        <v>62</v>
      </c>
      <c r="D68" s="2" t="s">
        <v>4</v>
      </c>
      <c r="E68" s="2">
        <f t="shared" si="2"/>
        <v>6.0483870967741934E-3</v>
      </c>
      <c r="F68" s="1"/>
    </row>
    <row r="69" spans="1:6" x14ac:dyDescent="0.35">
      <c r="A69" s="1">
        <v>15</v>
      </c>
      <c r="B69" s="1">
        <v>35</v>
      </c>
      <c r="C69" s="1">
        <v>13</v>
      </c>
      <c r="D69" s="2" t="s">
        <v>5</v>
      </c>
      <c r="E69" s="2">
        <f t="shared" si="2"/>
        <v>0.10256410256410257</v>
      </c>
      <c r="F69" s="1">
        <f t="shared" si="1"/>
        <v>2.4906774069335894E-2</v>
      </c>
    </row>
    <row r="70" spans="1:6" x14ac:dyDescent="0.35">
      <c r="A70" s="1">
        <v>49</v>
      </c>
      <c r="B70" s="1">
        <v>60</v>
      </c>
      <c r="C70" s="1">
        <v>89</v>
      </c>
      <c r="D70" s="1" t="s">
        <v>4</v>
      </c>
      <c r="E70" s="1">
        <f t="shared" si="2"/>
        <v>2.522357257509746E-3</v>
      </c>
      <c r="F70" s="1"/>
    </row>
    <row r="71" spans="1:6" x14ac:dyDescent="0.35">
      <c r="A71" s="1">
        <v>67</v>
      </c>
      <c r="B71" s="1">
        <v>75</v>
      </c>
      <c r="C71" s="1">
        <v>119</v>
      </c>
      <c r="D71" s="2" t="s">
        <v>4</v>
      </c>
      <c r="E71" s="2">
        <f t="shared" si="2"/>
        <v>1.0033864291985443E-3</v>
      </c>
      <c r="F71" s="1"/>
    </row>
    <row r="72" spans="1:6" x14ac:dyDescent="0.35">
      <c r="A72" s="1">
        <v>11</v>
      </c>
      <c r="B72" s="1">
        <v>30</v>
      </c>
      <c r="C72" s="1">
        <v>7</v>
      </c>
      <c r="D72" s="2" t="s">
        <v>5</v>
      </c>
      <c r="E72" s="2">
        <f t="shared" si="2"/>
        <v>0.24675324675324672</v>
      </c>
      <c r="F72" s="1">
        <f>GEOMEAN(E71:E72)</f>
        <v>1.5734956598379531E-2</v>
      </c>
    </row>
    <row r="73" spans="1:6" x14ac:dyDescent="0.35">
      <c r="A73" s="1">
        <v>27</v>
      </c>
      <c r="B73" s="1">
        <v>50</v>
      </c>
      <c r="C73" s="1">
        <v>21</v>
      </c>
      <c r="D73" s="1" t="s">
        <v>5</v>
      </c>
      <c r="E73" s="1">
        <f t="shared" si="2"/>
        <v>4.0564373897707229E-2</v>
      </c>
      <c r="F73" s="1"/>
    </row>
    <row r="74" spans="1:6" x14ac:dyDescent="0.35">
      <c r="A74" s="1">
        <v>40</v>
      </c>
      <c r="B74" s="1">
        <v>55</v>
      </c>
      <c r="C74" s="1">
        <v>62</v>
      </c>
      <c r="D74" s="1" t="s">
        <v>4</v>
      </c>
      <c r="E74" s="1">
        <f t="shared" si="2"/>
        <v>6.0483870967741934E-3</v>
      </c>
      <c r="F74" s="1"/>
    </row>
    <row r="75" spans="1:6" x14ac:dyDescent="0.35">
      <c r="A75" s="1">
        <v>49</v>
      </c>
      <c r="B75" s="1">
        <v>60</v>
      </c>
      <c r="C75" s="1">
        <v>89</v>
      </c>
      <c r="D75" s="1" t="s">
        <v>4</v>
      </c>
      <c r="E75" s="1">
        <f t="shared" si="2"/>
        <v>2.522357257509746E-3</v>
      </c>
      <c r="F75" s="1"/>
    </row>
    <row r="76" spans="1:6" x14ac:dyDescent="0.35">
      <c r="A76" s="1">
        <v>78</v>
      </c>
      <c r="B76" s="1">
        <v>80</v>
      </c>
      <c r="C76" s="1">
        <v>162</v>
      </c>
      <c r="D76" s="1" t="s">
        <v>4</v>
      </c>
      <c r="E76" s="1">
        <f t="shared" si="2"/>
        <v>1.5827793605571326E-4</v>
      </c>
      <c r="F76" s="1"/>
    </row>
    <row r="77" spans="1:6" x14ac:dyDescent="0.35">
      <c r="A77" s="1">
        <v>67</v>
      </c>
      <c r="B77" s="1">
        <v>75</v>
      </c>
      <c r="C77" s="1">
        <v>119</v>
      </c>
      <c r="D77" s="2" t="s">
        <v>4</v>
      </c>
      <c r="E77" s="2">
        <f t="shared" si="2"/>
        <v>1.0033864291985443E-3</v>
      </c>
      <c r="F77" s="1"/>
    </row>
    <row r="78" spans="1:6" x14ac:dyDescent="0.35">
      <c r="A78" s="1">
        <v>15</v>
      </c>
      <c r="B78" s="1">
        <v>35</v>
      </c>
      <c r="C78" s="1">
        <v>13</v>
      </c>
      <c r="D78" s="2" t="s">
        <v>5</v>
      </c>
      <c r="E78" s="2">
        <f t="shared" si="2"/>
        <v>0.10256410256410257</v>
      </c>
      <c r="F78" s="1">
        <f>GEOMEAN(E77:E78)</f>
        <v>1.0144527028686363E-2</v>
      </c>
    </row>
    <row r="79" spans="1:6" x14ac:dyDescent="0.35">
      <c r="A79" s="1">
        <v>15</v>
      </c>
      <c r="B79" s="1">
        <v>35</v>
      </c>
      <c r="C79" s="1">
        <v>13</v>
      </c>
      <c r="D79" s="1" t="s">
        <v>5</v>
      </c>
      <c r="E79" s="1">
        <f t="shared" si="2"/>
        <v>0.10256410256410257</v>
      </c>
      <c r="F79" s="1"/>
    </row>
    <row r="80" spans="1:6" x14ac:dyDescent="0.35">
      <c r="A80" s="1">
        <v>67</v>
      </c>
      <c r="B80" s="1">
        <v>75</v>
      </c>
      <c r="C80" s="1">
        <v>119</v>
      </c>
      <c r="D80" s="2" t="s">
        <v>4</v>
      </c>
      <c r="E80" s="2">
        <f t="shared" si="2"/>
        <v>1.0033864291985443E-3</v>
      </c>
      <c r="F80" s="1"/>
    </row>
    <row r="81" spans="1:6" x14ac:dyDescent="0.35">
      <c r="A81" s="1">
        <v>11</v>
      </c>
      <c r="B81" s="1">
        <v>30</v>
      </c>
      <c r="C81" s="1">
        <v>7</v>
      </c>
      <c r="D81" s="2" t="s">
        <v>5</v>
      </c>
      <c r="E81" s="2">
        <f t="shared" si="2"/>
        <v>0.24675324675324672</v>
      </c>
      <c r="F81" s="1">
        <f>GEOMEAN(E80:E81)</f>
        <v>1.5734956598379531E-2</v>
      </c>
    </row>
    <row r="82" spans="1:6" x14ac:dyDescent="0.35">
      <c r="A82" s="1">
        <v>40</v>
      </c>
      <c r="B82" s="1">
        <v>55</v>
      </c>
      <c r="C82" s="1">
        <v>62</v>
      </c>
      <c r="D82" s="1" t="s">
        <v>4</v>
      </c>
      <c r="E82" s="1">
        <f t="shared" si="2"/>
        <v>6.0483870967741934E-3</v>
      </c>
      <c r="F82" s="1"/>
    </row>
    <row r="83" spans="1:6" x14ac:dyDescent="0.35">
      <c r="A83" s="1">
        <v>49</v>
      </c>
      <c r="B83" s="1">
        <v>60</v>
      </c>
      <c r="C83" s="1">
        <v>89</v>
      </c>
      <c r="D83" s="1" t="s">
        <v>4</v>
      </c>
      <c r="E83" s="1">
        <f t="shared" si="2"/>
        <v>2.522357257509746E-3</v>
      </c>
      <c r="F83" s="1"/>
    </row>
    <row r="84" spans="1:6" x14ac:dyDescent="0.35">
      <c r="A84" s="1">
        <v>78</v>
      </c>
      <c r="B84" s="1">
        <v>80</v>
      </c>
      <c r="C84" s="1">
        <v>162</v>
      </c>
      <c r="D84" s="2" t="s">
        <v>4</v>
      </c>
      <c r="E84" s="2">
        <f t="shared" si="2"/>
        <v>1.5827793605571326E-4</v>
      </c>
      <c r="F84" s="1"/>
    </row>
    <row r="85" spans="1:6" x14ac:dyDescent="0.35">
      <c r="A85" s="1">
        <v>27</v>
      </c>
      <c r="B85" s="1">
        <v>50</v>
      </c>
      <c r="C85" s="1">
        <v>21</v>
      </c>
      <c r="D85" s="2" t="s">
        <v>5</v>
      </c>
      <c r="E85" s="2">
        <f t="shared" si="2"/>
        <v>4.0564373897707229E-2</v>
      </c>
      <c r="F85" s="1">
        <f>GEOMEAN(E84:E85)</f>
        <v>2.5338597786620613E-3</v>
      </c>
    </row>
    <row r="86" spans="1:6" x14ac:dyDescent="0.35">
      <c r="A86" s="1">
        <v>40</v>
      </c>
      <c r="B86" s="1">
        <v>55</v>
      </c>
      <c r="C86" s="1">
        <v>62</v>
      </c>
      <c r="D86" s="2" t="s">
        <v>4</v>
      </c>
      <c r="E86" s="2">
        <f t="shared" si="2"/>
        <v>6.0483870967741934E-3</v>
      </c>
      <c r="F86" s="1"/>
    </row>
    <row r="87" spans="1:6" x14ac:dyDescent="0.35">
      <c r="A87" s="1">
        <v>11</v>
      </c>
      <c r="B87" s="1">
        <v>30</v>
      </c>
      <c r="C87" s="1">
        <v>7</v>
      </c>
      <c r="D87" s="2" t="s">
        <v>5</v>
      </c>
      <c r="E87" s="2">
        <f t="shared" si="2"/>
        <v>0.24675324675324672</v>
      </c>
      <c r="F87" s="1">
        <f>GEOMEAN(E86:E87)</f>
        <v>3.8632358894448528E-2</v>
      </c>
    </row>
    <row r="88" spans="1:6" x14ac:dyDescent="0.35">
      <c r="A88" s="1">
        <v>49</v>
      </c>
      <c r="B88" s="1">
        <v>60</v>
      </c>
      <c r="C88" s="1">
        <v>89</v>
      </c>
      <c r="D88" s="1" t="s">
        <v>4</v>
      </c>
      <c r="E88" s="1">
        <f t="shared" si="2"/>
        <v>2.522357257509746E-3</v>
      </c>
      <c r="F88" s="1"/>
    </row>
    <row r="89" spans="1:6" x14ac:dyDescent="0.35">
      <c r="A89" s="1">
        <v>67</v>
      </c>
      <c r="B89" s="1">
        <v>75</v>
      </c>
      <c r="C89" s="1">
        <v>119</v>
      </c>
      <c r="D89" s="2" t="s">
        <v>4</v>
      </c>
      <c r="E89" s="2">
        <f t="shared" si="2"/>
        <v>1.0033864291985443E-3</v>
      </c>
      <c r="F89" s="1"/>
    </row>
    <row r="90" spans="1:6" x14ac:dyDescent="0.35">
      <c r="A90" s="1">
        <v>15</v>
      </c>
      <c r="B90" s="1">
        <v>35</v>
      </c>
      <c r="C90" s="1">
        <v>13</v>
      </c>
      <c r="D90" s="2" t="s">
        <v>5</v>
      </c>
      <c r="E90" s="2">
        <f t="shared" si="2"/>
        <v>0.10256410256410257</v>
      </c>
      <c r="F90" s="1">
        <f>GEOMEAN(E89:E90)</f>
        <v>1.0144527028686363E-2</v>
      </c>
    </row>
    <row r="91" spans="1:6" x14ac:dyDescent="0.35">
      <c r="A91" s="1">
        <v>27</v>
      </c>
      <c r="B91" s="1">
        <v>50</v>
      </c>
      <c r="C91" s="1">
        <v>21</v>
      </c>
      <c r="D91" s="1" t="s">
        <v>5</v>
      </c>
      <c r="E91" s="1">
        <f t="shared" si="2"/>
        <v>4.0564373897707229E-2</v>
      </c>
      <c r="F91" s="1"/>
    </row>
    <row r="92" spans="1:6" x14ac:dyDescent="0.35">
      <c r="A92" s="1">
        <v>78</v>
      </c>
      <c r="B92" s="1">
        <v>80</v>
      </c>
      <c r="C92" s="1">
        <v>162</v>
      </c>
      <c r="D92" s="1" t="s">
        <v>4</v>
      </c>
      <c r="E92" s="1">
        <f t="shared" si="2"/>
        <v>1.5827793605571326E-4</v>
      </c>
      <c r="F92" s="1"/>
    </row>
    <row r="93" spans="1:6" x14ac:dyDescent="0.35">
      <c r="A93" s="1">
        <v>15</v>
      </c>
      <c r="B93" s="1">
        <v>35</v>
      </c>
      <c r="C93" s="1">
        <v>13</v>
      </c>
      <c r="D93" s="1" t="s">
        <v>4</v>
      </c>
      <c r="E93" s="1">
        <f t="shared" si="2"/>
        <v>0.10256410256410257</v>
      </c>
      <c r="F93" s="1"/>
    </row>
    <row r="94" spans="1:6" x14ac:dyDescent="0.35">
      <c r="A94" s="1">
        <v>78</v>
      </c>
      <c r="B94" s="1">
        <v>80</v>
      </c>
      <c r="C94" s="1">
        <v>162</v>
      </c>
      <c r="D94" s="1" t="s">
        <v>4</v>
      </c>
      <c r="E94" s="1">
        <f t="shared" si="2"/>
        <v>1.5827793605571326E-4</v>
      </c>
      <c r="F94" s="1"/>
    </row>
    <row r="95" spans="1:6" x14ac:dyDescent="0.35">
      <c r="A95" s="1">
        <v>67</v>
      </c>
      <c r="B95" s="1">
        <v>75</v>
      </c>
      <c r="C95" s="1">
        <v>119</v>
      </c>
      <c r="D95" s="2" t="s">
        <v>4</v>
      </c>
      <c r="E95" s="2">
        <f t="shared" si="2"/>
        <v>1.0033864291985443E-3</v>
      </c>
      <c r="F95" s="1"/>
    </row>
    <row r="96" spans="1:6" x14ac:dyDescent="0.35">
      <c r="A96" s="1">
        <v>11</v>
      </c>
      <c r="B96" s="1">
        <v>30</v>
      </c>
      <c r="C96" s="1">
        <v>7</v>
      </c>
      <c r="D96" s="2" t="s">
        <v>5</v>
      </c>
      <c r="E96" s="2">
        <f t="shared" si="2"/>
        <v>0.24675324675324672</v>
      </c>
      <c r="F96" s="1">
        <f>GEOMEAN(E95:E96)</f>
        <v>1.5734956598379531E-2</v>
      </c>
    </row>
    <row r="97" spans="1:6" x14ac:dyDescent="0.35">
      <c r="A97" s="1">
        <v>27</v>
      </c>
      <c r="B97" s="1">
        <v>50</v>
      </c>
      <c r="C97" s="1">
        <v>21</v>
      </c>
      <c r="D97" s="1" t="s">
        <v>5</v>
      </c>
      <c r="E97" s="1">
        <f t="shared" si="2"/>
        <v>4.0564373897707229E-2</v>
      </c>
      <c r="F97" s="1"/>
    </row>
    <row r="98" spans="1:6" x14ac:dyDescent="0.35">
      <c r="A98" s="1">
        <v>49</v>
      </c>
      <c r="B98" s="1">
        <v>60</v>
      </c>
      <c r="C98" s="1">
        <v>89</v>
      </c>
      <c r="D98" s="1" t="s">
        <v>4</v>
      </c>
      <c r="E98" s="1">
        <f t="shared" si="2"/>
        <v>2.522357257509746E-3</v>
      </c>
      <c r="F98" s="1"/>
    </row>
    <row r="99" spans="1:6" x14ac:dyDescent="0.35">
      <c r="A99" s="1">
        <v>40</v>
      </c>
      <c r="B99" s="1">
        <v>55</v>
      </c>
      <c r="C99" s="1">
        <v>62</v>
      </c>
      <c r="D99" s="1" t="s">
        <v>4</v>
      </c>
      <c r="E99" s="1">
        <f t="shared" si="2"/>
        <v>6.0483870967741934E-3</v>
      </c>
      <c r="F99" s="1"/>
    </row>
    <row r="100" spans="1:6" x14ac:dyDescent="0.35">
      <c r="A100" s="1">
        <v>67</v>
      </c>
      <c r="B100" s="1">
        <v>75</v>
      </c>
      <c r="C100" s="1">
        <v>119</v>
      </c>
      <c r="D100" s="1" t="s">
        <v>4</v>
      </c>
      <c r="E100" s="1">
        <f t="shared" si="2"/>
        <v>1.0033864291985443E-3</v>
      </c>
      <c r="F100" s="1"/>
    </row>
    <row r="101" spans="1:6" x14ac:dyDescent="0.35">
      <c r="D101" s="3"/>
      <c r="E101" s="3"/>
    </row>
    <row r="102" spans="1:6" x14ac:dyDescent="0.35">
      <c r="D102" s="3"/>
      <c r="E102" s="3"/>
    </row>
    <row r="104" spans="1:6" x14ac:dyDescent="0.35">
      <c r="D104" s="3"/>
      <c r="E104" s="3"/>
    </row>
    <row r="105" spans="1:6" x14ac:dyDescent="0.35">
      <c r="D105" s="3"/>
      <c r="E105" s="3"/>
    </row>
    <row r="109" spans="1:6" x14ac:dyDescent="0.35">
      <c r="D109" s="3"/>
      <c r="E109" s="3"/>
    </row>
    <row r="110" spans="1:6" x14ac:dyDescent="0.35">
      <c r="D110" s="3"/>
      <c r="E11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8B06-205A-4FC8-8E6B-EB117C237C06}">
  <dimension ref="A1:K100"/>
  <sheetViews>
    <sheetView tabSelected="1" workbookViewId="0">
      <selection activeCell="L17" sqref="L17"/>
    </sheetView>
  </sheetViews>
  <sheetFormatPr defaultRowHeight="14.5" x14ac:dyDescent="0.35"/>
  <cols>
    <col min="1" max="1" width="12.81640625" customWidth="1"/>
    <col min="2" max="2" width="15" customWidth="1"/>
    <col min="3" max="3" width="11.26953125" customWidth="1"/>
    <col min="4" max="4" width="14" customWidth="1"/>
    <col min="7" max="7" width="6.1796875" customWidth="1"/>
    <col min="8" max="8" width="7.7265625" customWidth="1"/>
    <col min="9" max="9" width="11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4" t="s">
        <v>7</v>
      </c>
    </row>
    <row r="2" spans="1:10" x14ac:dyDescent="0.35">
      <c r="A2" s="1">
        <v>15</v>
      </c>
      <c r="B2" s="1">
        <v>35</v>
      </c>
      <c r="C2" s="1">
        <v>13</v>
      </c>
      <c r="D2" s="1" t="s">
        <v>5</v>
      </c>
      <c r="E2" s="1">
        <f>((B2/A2)-1)/C2</f>
        <v>0.10256410256410257</v>
      </c>
      <c r="F2" s="1"/>
    </row>
    <row r="3" spans="1:10" x14ac:dyDescent="0.35">
      <c r="A3" s="1">
        <v>11</v>
      </c>
      <c r="B3" s="1">
        <v>30</v>
      </c>
      <c r="C3" s="1">
        <v>7</v>
      </c>
      <c r="D3" s="1" t="s">
        <v>5</v>
      </c>
      <c r="E3" s="1">
        <f t="shared" ref="E3:E66" si="0">((B3/A3)-1)/C3</f>
        <v>0.24675324675324672</v>
      </c>
      <c r="F3" s="1"/>
    </row>
    <row r="4" spans="1:10" x14ac:dyDescent="0.35">
      <c r="A4" s="1">
        <v>78</v>
      </c>
      <c r="B4" s="1">
        <v>80</v>
      </c>
      <c r="C4" s="1">
        <v>162</v>
      </c>
      <c r="D4" s="1" t="s">
        <v>4</v>
      </c>
      <c r="E4" s="1">
        <f t="shared" si="0"/>
        <v>1.5827793605571326E-4</v>
      </c>
      <c r="F4" s="1"/>
      <c r="H4" s="4" t="s">
        <v>8</v>
      </c>
      <c r="I4" s="1">
        <f>AVERAGE(F2:F100)</f>
        <v>1.5566970126341454E-2</v>
      </c>
    </row>
    <row r="5" spans="1:10" x14ac:dyDescent="0.35">
      <c r="A5" s="1">
        <v>40</v>
      </c>
      <c r="B5" s="1">
        <v>55</v>
      </c>
      <c r="C5" s="1">
        <v>62</v>
      </c>
      <c r="D5" s="1" t="s">
        <v>4</v>
      </c>
      <c r="E5" s="1">
        <f t="shared" si="0"/>
        <v>6.0483870967741934E-3</v>
      </c>
      <c r="F5" s="1"/>
    </row>
    <row r="6" spans="1:10" x14ac:dyDescent="0.35">
      <c r="A6" s="1">
        <v>49</v>
      </c>
      <c r="B6" s="1">
        <v>60</v>
      </c>
      <c r="C6" s="1">
        <v>89</v>
      </c>
      <c r="D6" s="1" t="s">
        <v>4</v>
      </c>
      <c r="E6" s="1">
        <f t="shared" si="0"/>
        <v>2.522357257509746E-3</v>
      </c>
      <c r="F6" s="1"/>
    </row>
    <row r="7" spans="1:10" x14ac:dyDescent="0.35">
      <c r="A7" s="1">
        <v>67</v>
      </c>
      <c r="B7" s="1">
        <v>75</v>
      </c>
      <c r="C7" s="1">
        <v>119</v>
      </c>
      <c r="D7" s="2" t="s">
        <v>4</v>
      </c>
      <c r="E7" s="2">
        <f t="shared" si="0"/>
        <v>1.0033864291985443E-3</v>
      </c>
      <c r="F7" s="1"/>
    </row>
    <row r="8" spans="1:10" x14ac:dyDescent="0.35">
      <c r="A8" s="1">
        <v>27</v>
      </c>
      <c r="B8" s="1">
        <v>50</v>
      </c>
      <c r="C8" s="1">
        <v>21</v>
      </c>
      <c r="D8" s="2" t="s">
        <v>5</v>
      </c>
      <c r="E8" s="2">
        <f t="shared" si="0"/>
        <v>4.0564373897707229E-2</v>
      </c>
      <c r="F8" s="1">
        <f>GEOMEAN(E7:E8)</f>
        <v>6.3797917111685625E-3</v>
      </c>
      <c r="I8" s="4" t="s">
        <v>9</v>
      </c>
      <c r="J8" s="4" t="s">
        <v>8</v>
      </c>
    </row>
    <row r="9" spans="1:10" x14ac:dyDescent="0.35">
      <c r="A9" s="1">
        <v>67</v>
      </c>
      <c r="B9" s="1">
        <v>75</v>
      </c>
      <c r="C9" s="1">
        <v>119</v>
      </c>
      <c r="D9" s="2" t="s">
        <v>4</v>
      </c>
      <c r="E9" s="2">
        <f t="shared" si="0"/>
        <v>1.0033864291985443E-3</v>
      </c>
      <c r="F9" s="1"/>
      <c r="I9" s="4">
        <v>1</v>
      </c>
      <c r="J9" s="1">
        <f>'P1'!I4</f>
        <v>2.3434087561192599E-2</v>
      </c>
    </row>
    <row r="10" spans="1:10" x14ac:dyDescent="0.35">
      <c r="A10" s="1">
        <v>15</v>
      </c>
      <c r="B10" s="1">
        <v>35</v>
      </c>
      <c r="C10" s="1">
        <v>13</v>
      </c>
      <c r="D10" s="2" t="s">
        <v>5</v>
      </c>
      <c r="E10" s="2">
        <f t="shared" si="0"/>
        <v>0.10256410256410257</v>
      </c>
      <c r="F10" s="1">
        <f>GEOMEAN(E9:E10)</f>
        <v>1.0144527028686363E-2</v>
      </c>
      <c r="I10" s="4">
        <v>2</v>
      </c>
      <c r="J10" s="1">
        <f>'P2'!I4</f>
        <v>1.5363239206081E-2</v>
      </c>
    </row>
    <row r="11" spans="1:10" x14ac:dyDescent="0.35">
      <c r="A11" s="1">
        <v>27</v>
      </c>
      <c r="B11" s="1">
        <v>50</v>
      </c>
      <c r="C11" s="1">
        <v>21</v>
      </c>
      <c r="D11" s="1" t="s">
        <v>5</v>
      </c>
      <c r="E11" s="1">
        <f t="shared" si="0"/>
        <v>4.0564373897707229E-2</v>
      </c>
      <c r="F11" s="1"/>
      <c r="I11" s="4">
        <v>3</v>
      </c>
      <c r="J11" s="1">
        <f>'P3'!I4</f>
        <v>1.3517531803078667E-2</v>
      </c>
    </row>
    <row r="12" spans="1:10" x14ac:dyDescent="0.35">
      <c r="A12" s="1">
        <v>78</v>
      </c>
      <c r="B12" s="1">
        <v>80</v>
      </c>
      <c r="C12" s="1">
        <v>162</v>
      </c>
      <c r="D12" s="2" t="s">
        <v>4</v>
      </c>
      <c r="E12" s="2">
        <f t="shared" si="0"/>
        <v>1.5827793605571326E-4</v>
      </c>
      <c r="F12" s="1"/>
      <c r="I12" s="4">
        <v>4</v>
      </c>
      <c r="J12" s="1">
        <f>I4</f>
        <v>1.5566970126341454E-2</v>
      </c>
    </row>
    <row r="13" spans="1:10" x14ac:dyDescent="0.35">
      <c r="A13" s="1">
        <v>11</v>
      </c>
      <c r="B13" s="1">
        <v>30</v>
      </c>
      <c r="C13" s="1">
        <v>7</v>
      </c>
      <c r="D13" s="2" t="s">
        <v>5</v>
      </c>
      <c r="E13" s="2">
        <f t="shared" si="0"/>
        <v>0.24675324675324672</v>
      </c>
      <c r="F13" s="1">
        <f>GEOMEAN(E12:E13)</f>
        <v>6.2494475444754335E-3</v>
      </c>
    </row>
    <row r="14" spans="1:10" x14ac:dyDescent="0.35">
      <c r="A14" s="1">
        <v>40</v>
      </c>
      <c r="B14" s="1">
        <v>55</v>
      </c>
      <c r="C14" s="1">
        <v>62</v>
      </c>
      <c r="D14" s="1" t="s">
        <v>4</v>
      </c>
      <c r="E14" s="1">
        <f t="shared" si="0"/>
        <v>6.0483870967741934E-3</v>
      </c>
      <c r="F14" s="1"/>
    </row>
    <row r="15" spans="1:10" x14ac:dyDescent="0.35">
      <c r="A15" s="1">
        <v>49</v>
      </c>
      <c r="B15" s="1">
        <v>60</v>
      </c>
      <c r="C15" s="1">
        <v>89</v>
      </c>
      <c r="D15" s="2" t="s">
        <v>4</v>
      </c>
      <c r="E15" s="2">
        <f t="shared" si="0"/>
        <v>2.522357257509746E-3</v>
      </c>
      <c r="F15" s="1"/>
    </row>
    <row r="16" spans="1:10" x14ac:dyDescent="0.35">
      <c r="A16" s="1">
        <v>11</v>
      </c>
      <c r="B16" s="1">
        <v>30</v>
      </c>
      <c r="C16" s="1">
        <v>7</v>
      </c>
      <c r="D16" s="2" t="s">
        <v>5</v>
      </c>
      <c r="E16" s="2">
        <f t="shared" si="0"/>
        <v>0.24675324675324672</v>
      </c>
      <c r="F16" s="1">
        <f>GEOMEAN(E15:E16)</f>
        <v>2.494794265590141E-2</v>
      </c>
    </row>
    <row r="17" spans="1:11" x14ac:dyDescent="0.35">
      <c r="A17" s="1">
        <v>67</v>
      </c>
      <c r="B17" s="1">
        <v>75</v>
      </c>
      <c r="C17" s="1">
        <v>119</v>
      </c>
      <c r="D17" s="2" t="s">
        <v>4</v>
      </c>
      <c r="E17" s="2">
        <f t="shared" si="0"/>
        <v>1.0033864291985443E-3</v>
      </c>
      <c r="F17" s="1"/>
      <c r="K17" s="5" t="s">
        <v>10</v>
      </c>
    </row>
    <row r="18" spans="1:11" x14ac:dyDescent="0.35">
      <c r="A18" s="1">
        <v>15</v>
      </c>
      <c r="B18" s="1">
        <v>35</v>
      </c>
      <c r="C18" s="1">
        <v>13</v>
      </c>
      <c r="D18" s="2" t="s">
        <v>5</v>
      </c>
      <c r="E18" s="2">
        <f t="shared" si="0"/>
        <v>0.10256410256410257</v>
      </c>
      <c r="F18" s="1">
        <f>GEOMEAN(E17:E18)</f>
        <v>1.0144527028686363E-2</v>
      </c>
    </row>
    <row r="19" spans="1:11" x14ac:dyDescent="0.35">
      <c r="A19" s="1">
        <v>40</v>
      </c>
      <c r="B19" s="1">
        <v>55</v>
      </c>
      <c r="C19" s="1">
        <v>62</v>
      </c>
      <c r="D19" s="1" t="s">
        <v>4</v>
      </c>
      <c r="E19" s="1">
        <f t="shared" si="0"/>
        <v>6.0483870967741934E-3</v>
      </c>
      <c r="F19" s="1"/>
    </row>
    <row r="20" spans="1:11" x14ac:dyDescent="0.35">
      <c r="A20" s="1">
        <v>49</v>
      </c>
      <c r="B20" s="1">
        <v>60</v>
      </c>
      <c r="C20" s="1">
        <v>89</v>
      </c>
      <c r="D20" s="2" t="s">
        <v>4</v>
      </c>
      <c r="E20" s="2">
        <f t="shared" si="0"/>
        <v>2.522357257509746E-3</v>
      </c>
      <c r="F20" s="1"/>
    </row>
    <row r="21" spans="1:11" x14ac:dyDescent="0.35">
      <c r="A21" s="1">
        <v>27</v>
      </c>
      <c r="B21" s="1">
        <v>50</v>
      </c>
      <c r="C21" s="1">
        <v>21</v>
      </c>
      <c r="D21" s="2" t="s">
        <v>5</v>
      </c>
      <c r="E21" s="2">
        <f t="shared" si="0"/>
        <v>4.0564373897707229E-2</v>
      </c>
      <c r="F21" s="1">
        <f>GEOMEAN(E20:E21)</f>
        <v>1.0115228267183135E-2</v>
      </c>
    </row>
    <row r="22" spans="1:11" x14ac:dyDescent="0.35">
      <c r="A22" s="1">
        <v>78</v>
      </c>
      <c r="B22" s="1">
        <v>80</v>
      </c>
      <c r="C22" s="1">
        <v>162</v>
      </c>
      <c r="D22" s="2" t="s">
        <v>4</v>
      </c>
      <c r="E22" s="2">
        <f t="shared" si="0"/>
        <v>1.5827793605571326E-4</v>
      </c>
      <c r="F22" s="1"/>
    </row>
    <row r="23" spans="1:11" x14ac:dyDescent="0.35">
      <c r="A23" s="1">
        <v>27</v>
      </c>
      <c r="B23" s="1">
        <v>50</v>
      </c>
      <c r="C23" s="1">
        <v>21</v>
      </c>
      <c r="D23" s="2" t="s">
        <v>5</v>
      </c>
      <c r="E23" s="2">
        <f t="shared" si="0"/>
        <v>4.0564373897707229E-2</v>
      </c>
      <c r="F23" s="1">
        <f>GEOMEAN(E22:E23)</f>
        <v>2.5338597786620613E-3</v>
      </c>
    </row>
    <row r="24" spans="1:11" x14ac:dyDescent="0.35">
      <c r="A24" s="1">
        <v>15</v>
      </c>
      <c r="B24" s="1">
        <v>35</v>
      </c>
      <c r="C24" s="1">
        <v>13</v>
      </c>
      <c r="D24" s="1" t="s">
        <v>5</v>
      </c>
      <c r="E24" s="1">
        <f t="shared" si="0"/>
        <v>0.10256410256410257</v>
      </c>
      <c r="F24" s="1"/>
    </row>
    <row r="25" spans="1:11" x14ac:dyDescent="0.35">
      <c r="A25" s="1">
        <v>49</v>
      </c>
      <c r="B25" s="1">
        <v>60</v>
      </c>
      <c r="C25" s="1">
        <v>89</v>
      </c>
      <c r="D25" s="2" t="s">
        <v>4</v>
      </c>
      <c r="E25" s="2">
        <f t="shared" si="0"/>
        <v>2.522357257509746E-3</v>
      </c>
      <c r="F25" s="1"/>
    </row>
    <row r="26" spans="1:11" x14ac:dyDescent="0.35">
      <c r="A26" s="1">
        <v>11</v>
      </c>
      <c r="B26" s="1">
        <v>30</v>
      </c>
      <c r="C26" s="1">
        <v>7</v>
      </c>
      <c r="D26" s="2" t="s">
        <v>5</v>
      </c>
      <c r="E26" s="2">
        <f t="shared" si="0"/>
        <v>0.24675324675324672</v>
      </c>
      <c r="F26" s="1">
        <f>GEOMEAN(E25:E26)</f>
        <v>2.494794265590141E-2</v>
      </c>
    </row>
    <row r="27" spans="1:11" x14ac:dyDescent="0.35">
      <c r="A27" s="1">
        <v>40</v>
      </c>
      <c r="B27" s="1">
        <v>55</v>
      </c>
      <c r="C27" s="1">
        <v>62</v>
      </c>
      <c r="D27" s="1" t="s">
        <v>4</v>
      </c>
      <c r="E27" s="1">
        <f t="shared" si="0"/>
        <v>6.0483870967741934E-3</v>
      </c>
      <c r="F27" s="1"/>
    </row>
    <row r="28" spans="1:11" x14ac:dyDescent="0.35">
      <c r="A28" s="1">
        <v>78</v>
      </c>
      <c r="B28" s="1">
        <v>80</v>
      </c>
      <c r="C28" s="1">
        <v>162</v>
      </c>
      <c r="D28" s="1" t="s">
        <v>4</v>
      </c>
      <c r="E28" s="1">
        <f t="shared" si="0"/>
        <v>1.5827793605571326E-4</v>
      </c>
      <c r="F28" s="1"/>
    </row>
    <row r="29" spans="1:11" x14ac:dyDescent="0.35">
      <c r="A29" s="1">
        <v>67</v>
      </c>
      <c r="B29" s="1">
        <v>75</v>
      </c>
      <c r="C29" s="1">
        <v>119</v>
      </c>
      <c r="D29" s="2" t="s">
        <v>4</v>
      </c>
      <c r="E29" s="2">
        <f t="shared" si="0"/>
        <v>1.0033864291985443E-3</v>
      </c>
      <c r="F29" s="1"/>
    </row>
    <row r="30" spans="1:11" x14ac:dyDescent="0.35">
      <c r="A30" s="1">
        <v>27</v>
      </c>
      <c r="B30" s="1">
        <v>50</v>
      </c>
      <c r="C30" s="1">
        <v>21</v>
      </c>
      <c r="D30" s="2" t="s">
        <v>5</v>
      </c>
      <c r="E30" s="2">
        <f t="shared" si="0"/>
        <v>4.0564373897707229E-2</v>
      </c>
      <c r="F30" s="1">
        <f>GEOMEAN(E29:E30)</f>
        <v>6.3797917111685625E-3</v>
      </c>
    </row>
    <row r="31" spans="1:11" x14ac:dyDescent="0.35">
      <c r="A31" s="1">
        <v>49</v>
      </c>
      <c r="B31" s="1">
        <v>60</v>
      </c>
      <c r="C31" s="1">
        <v>89</v>
      </c>
      <c r="D31" s="2" t="s">
        <v>4</v>
      </c>
      <c r="E31" s="2">
        <f t="shared" si="0"/>
        <v>2.522357257509746E-3</v>
      </c>
      <c r="F31" s="1"/>
    </row>
    <row r="32" spans="1:11" x14ac:dyDescent="0.35">
      <c r="A32" s="1">
        <v>11</v>
      </c>
      <c r="B32" s="1">
        <v>30</v>
      </c>
      <c r="C32" s="1">
        <v>7</v>
      </c>
      <c r="D32" s="2" t="s">
        <v>5</v>
      </c>
      <c r="E32" s="2">
        <f t="shared" si="0"/>
        <v>0.24675324675324672</v>
      </c>
      <c r="F32" s="1">
        <f>GEOMEAN(E31:E32)</f>
        <v>2.494794265590141E-2</v>
      </c>
    </row>
    <row r="33" spans="1:6" x14ac:dyDescent="0.35">
      <c r="A33" s="1">
        <v>15</v>
      </c>
      <c r="B33" s="1">
        <v>35</v>
      </c>
      <c r="C33" s="1">
        <v>13</v>
      </c>
      <c r="D33" s="1" t="s">
        <v>5</v>
      </c>
      <c r="E33" s="1">
        <f t="shared" si="0"/>
        <v>0.10256410256410257</v>
      </c>
      <c r="F33" s="1"/>
    </row>
    <row r="34" spans="1:6" x14ac:dyDescent="0.35">
      <c r="A34" s="1">
        <v>78</v>
      </c>
      <c r="B34" s="1">
        <v>80</v>
      </c>
      <c r="C34" s="1">
        <v>162</v>
      </c>
      <c r="D34" s="1" t="s">
        <v>4</v>
      </c>
      <c r="E34" s="1">
        <f t="shared" si="0"/>
        <v>1.5827793605571326E-4</v>
      </c>
      <c r="F34" s="1"/>
    </row>
    <row r="35" spans="1:6" x14ac:dyDescent="0.35">
      <c r="A35" s="1">
        <v>40</v>
      </c>
      <c r="B35" s="1">
        <v>55</v>
      </c>
      <c r="C35" s="1">
        <v>62</v>
      </c>
      <c r="D35" s="1" t="s">
        <v>4</v>
      </c>
      <c r="E35" s="1">
        <f t="shared" si="0"/>
        <v>6.0483870967741934E-3</v>
      </c>
      <c r="F35" s="1"/>
    </row>
    <row r="36" spans="1:6" x14ac:dyDescent="0.35">
      <c r="A36" s="1">
        <v>67</v>
      </c>
      <c r="B36" s="1">
        <v>75</v>
      </c>
      <c r="C36" s="1">
        <v>119</v>
      </c>
      <c r="D36" s="1" t="s">
        <v>4</v>
      </c>
      <c r="E36" s="1">
        <f t="shared" si="0"/>
        <v>1.0033864291985443E-3</v>
      </c>
      <c r="F36" s="1"/>
    </row>
    <row r="37" spans="1:6" x14ac:dyDescent="0.35">
      <c r="A37" s="1">
        <v>11</v>
      </c>
      <c r="B37" s="1">
        <v>30</v>
      </c>
      <c r="C37" s="1">
        <v>7</v>
      </c>
      <c r="D37" s="1" t="s">
        <v>4</v>
      </c>
      <c r="E37" s="1">
        <f t="shared" si="0"/>
        <v>0.24675324675324672</v>
      </c>
      <c r="F37" s="1"/>
    </row>
    <row r="38" spans="1:6" x14ac:dyDescent="0.35">
      <c r="A38" s="1">
        <v>67</v>
      </c>
      <c r="B38" s="1">
        <v>75</v>
      </c>
      <c r="C38" s="1">
        <v>119</v>
      </c>
      <c r="D38" s="1" t="s">
        <v>4</v>
      </c>
      <c r="E38" s="1">
        <f t="shared" si="0"/>
        <v>1.0033864291985443E-3</v>
      </c>
      <c r="F38" s="1"/>
    </row>
    <row r="39" spans="1:6" x14ac:dyDescent="0.35">
      <c r="A39" s="1">
        <v>78</v>
      </c>
      <c r="B39" s="1">
        <v>80</v>
      </c>
      <c r="C39" s="1">
        <v>162</v>
      </c>
      <c r="D39" s="1" t="s">
        <v>4</v>
      </c>
      <c r="E39" s="1">
        <f t="shared" si="0"/>
        <v>1.5827793605571326E-4</v>
      </c>
      <c r="F39" s="1"/>
    </row>
    <row r="40" spans="1:6" x14ac:dyDescent="0.35">
      <c r="A40" s="1">
        <v>40</v>
      </c>
      <c r="B40" s="1">
        <v>55</v>
      </c>
      <c r="C40" s="1">
        <v>62</v>
      </c>
      <c r="D40" s="2" t="s">
        <v>4</v>
      </c>
      <c r="E40" s="2">
        <f t="shared" si="0"/>
        <v>6.0483870967741934E-3</v>
      </c>
      <c r="F40" s="1"/>
    </row>
    <row r="41" spans="1:6" x14ac:dyDescent="0.35">
      <c r="A41" s="1">
        <v>15</v>
      </c>
      <c r="B41" s="1">
        <v>35</v>
      </c>
      <c r="C41" s="1">
        <v>13</v>
      </c>
      <c r="D41" s="2" t="s">
        <v>5</v>
      </c>
      <c r="E41" s="2">
        <f t="shared" si="0"/>
        <v>0.10256410256410257</v>
      </c>
      <c r="F41" s="1">
        <f>GEOMEAN(E40:E41)</f>
        <v>2.4906774069335894E-2</v>
      </c>
    </row>
    <row r="42" spans="1:6" x14ac:dyDescent="0.35">
      <c r="A42" s="1">
        <v>27</v>
      </c>
      <c r="B42" s="1">
        <v>50</v>
      </c>
      <c r="C42" s="1">
        <v>21</v>
      </c>
      <c r="D42" s="1" t="s">
        <v>5</v>
      </c>
      <c r="E42" s="1">
        <f t="shared" si="0"/>
        <v>4.0564373897707229E-2</v>
      </c>
      <c r="F42" s="1"/>
    </row>
    <row r="43" spans="1:6" x14ac:dyDescent="0.35">
      <c r="A43" s="1">
        <v>49</v>
      </c>
      <c r="B43" s="1">
        <v>60</v>
      </c>
      <c r="C43" s="1">
        <v>89</v>
      </c>
      <c r="D43" s="1" t="s">
        <v>4</v>
      </c>
      <c r="E43" s="1">
        <f t="shared" si="0"/>
        <v>2.522357257509746E-3</v>
      </c>
      <c r="F43" s="1"/>
    </row>
    <row r="44" spans="1:6" x14ac:dyDescent="0.35">
      <c r="A44" s="1">
        <v>78</v>
      </c>
      <c r="B44" s="1">
        <v>80</v>
      </c>
      <c r="C44" s="1">
        <v>162</v>
      </c>
      <c r="D44" s="1" t="s">
        <v>4</v>
      </c>
      <c r="E44" s="1">
        <f t="shared" si="0"/>
        <v>1.5827793605571326E-4</v>
      </c>
      <c r="F44" s="1"/>
    </row>
    <row r="45" spans="1:6" x14ac:dyDescent="0.35">
      <c r="A45" s="1">
        <v>40</v>
      </c>
      <c r="B45" s="1">
        <v>55</v>
      </c>
      <c r="C45" s="1">
        <v>62</v>
      </c>
      <c r="D45" s="2" t="s">
        <v>4</v>
      </c>
      <c r="E45" s="2">
        <f t="shared" si="0"/>
        <v>6.0483870967741934E-3</v>
      </c>
      <c r="F45" s="1"/>
    </row>
    <row r="46" spans="1:6" x14ac:dyDescent="0.35">
      <c r="A46" s="1">
        <v>27</v>
      </c>
      <c r="B46" s="1">
        <v>50</v>
      </c>
      <c r="C46" s="1">
        <v>21</v>
      </c>
      <c r="D46" s="2" t="s">
        <v>5</v>
      </c>
      <c r="E46" s="2">
        <f t="shared" si="0"/>
        <v>4.0564373897707229E-2</v>
      </c>
      <c r="F46" s="1">
        <f>GEOMEAN(E45:E46)</f>
        <v>1.5663621409866119E-2</v>
      </c>
    </row>
    <row r="47" spans="1:6" x14ac:dyDescent="0.35">
      <c r="A47" s="1">
        <v>67</v>
      </c>
      <c r="B47" s="1">
        <v>75</v>
      </c>
      <c r="C47" s="1">
        <v>119</v>
      </c>
      <c r="D47" s="1" t="s">
        <v>4</v>
      </c>
      <c r="E47" s="1">
        <f t="shared" si="0"/>
        <v>1.0033864291985443E-3</v>
      </c>
      <c r="F47" s="1"/>
    </row>
    <row r="48" spans="1:6" x14ac:dyDescent="0.35">
      <c r="A48" s="1">
        <v>49</v>
      </c>
      <c r="B48" s="1">
        <v>60</v>
      </c>
      <c r="C48" s="1">
        <v>89</v>
      </c>
      <c r="D48" s="2" t="s">
        <v>4</v>
      </c>
      <c r="E48" s="2">
        <f t="shared" si="0"/>
        <v>2.522357257509746E-3</v>
      </c>
      <c r="F48" s="1"/>
    </row>
    <row r="49" spans="1:6" x14ac:dyDescent="0.35">
      <c r="A49" s="1">
        <v>11</v>
      </c>
      <c r="B49" s="1">
        <v>30</v>
      </c>
      <c r="C49" s="1">
        <v>7</v>
      </c>
      <c r="D49" s="2" t="s">
        <v>5</v>
      </c>
      <c r="E49" s="2">
        <f t="shared" si="0"/>
        <v>0.24675324675324672</v>
      </c>
      <c r="F49" s="1">
        <f>GEOMEAN(E48:E49)</f>
        <v>2.494794265590141E-2</v>
      </c>
    </row>
    <row r="50" spans="1:6" x14ac:dyDescent="0.35">
      <c r="A50" s="1">
        <v>15</v>
      </c>
      <c r="B50" s="1">
        <v>35</v>
      </c>
      <c r="C50" s="1">
        <v>13</v>
      </c>
      <c r="D50" s="1" t="s">
        <v>5</v>
      </c>
      <c r="E50" s="1">
        <f t="shared" si="0"/>
        <v>0.10256410256410257</v>
      </c>
      <c r="F50" s="1"/>
    </row>
    <row r="51" spans="1:6" x14ac:dyDescent="0.35">
      <c r="A51" s="1">
        <v>67</v>
      </c>
      <c r="B51" s="1">
        <v>75</v>
      </c>
      <c r="C51" s="1">
        <v>119</v>
      </c>
      <c r="D51" s="1" t="s">
        <v>4</v>
      </c>
      <c r="E51" s="1">
        <f t="shared" si="0"/>
        <v>1.0033864291985443E-3</v>
      </c>
      <c r="F51" s="1"/>
    </row>
    <row r="52" spans="1:6" x14ac:dyDescent="0.35">
      <c r="A52" s="1">
        <v>40</v>
      </c>
      <c r="B52" s="1">
        <v>55</v>
      </c>
      <c r="C52" s="1">
        <v>62</v>
      </c>
      <c r="D52" s="1" t="s">
        <v>4</v>
      </c>
      <c r="E52" s="1">
        <f t="shared" si="0"/>
        <v>6.0483870967741934E-3</v>
      </c>
      <c r="F52" s="1"/>
    </row>
    <row r="53" spans="1:6" x14ac:dyDescent="0.35">
      <c r="A53" s="1">
        <v>78</v>
      </c>
      <c r="B53" s="1">
        <v>80</v>
      </c>
      <c r="C53" s="1">
        <v>162</v>
      </c>
      <c r="D53" s="1" t="s">
        <v>4</v>
      </c>
      <c r="E53" s="1">
        <f t="shared" si="0"/>
        <v>1.5827793605571326E-4</v>
      </c>
      <c r="F53" s="1"/>
    </row>
    <row r="54" spans="1:6" x14ac:dyDescent="0.35">
      <c r="A54" s="1">
        <v>49</v>
      </c>
      <c r="B54" s="1">
        <v>60</v>
      </c>
      <c r="C54" s="1">
        <v>89</v>
      </c>
      <c r="D54" s="2" t="s">
        <v>4</v>
      </c>
      <c r="E54" s="2">
        <f t="shared" si="0"/>
        <v>2.522357257509746E-3</v>
      </c>
      <c r="F54" s="1"/>
    </row>
    <row r="55" spans="1:6" x14ac:dyDescent="0.35">
      <c r="A55" s="1">
        <v>15</v>
      </c>
      <c r="B55" s="1">
        <v>35</v>
      </c>
      <c r="C55" s="1">
        <v>13</v>
      </c>
      <c r="D55" s="2" t="s">
        <v>5</v>
      </c>
      <c r="E55" s="2">
        <f t="shared" si="0"/>
        <v>0.10256410256410257</v>
      </c>
      <c r="F55" s="1">
        <f>GEOMEAN(E54:E55)</f>
        <v>1.6084256540559717E-2</v>
      </c>
    </row>
    <row r="56" spans="1:6" x14ac:dyDescent="0.35">
      <c r="A56" s="1">
        <v>11</v>
      </c>
      <c r="B56" s="1">
        <v>30</v>
      </c>
      <c r="C56" s="1">
        <v>7</v>
      </c>
      <c r="D56" s="1" t="s">
        <v>5</v>
      </c>
      <c r="E56" s="1">
        <f t="shared" si="0"/>
        <v>0.24675324675324672</v>
      </c>
      <c r="F56" s="1"/>
    </row>
    <row r="57" spans="1:6" x14ac:dyDescent="0.35">
      <c r="A57" s="1">
        <v>27</v>
      </c>
      <c r="B57" s="1">
        <v>50</v>
      </c>
      <c r="C57" s="1">
        <v>21</v>
      </c>
      <c r="D57" s="1" t="s">
        <v>5</v>
      </c>
      <c r="E57" s="1">
        <f t="shared" si="0"/>
        <v>4.0564373897707229E-2</v>
      </c>
      <c r="F57" s="1"/>
    </row>
    <row r="58" spans="1:6" x14ac:dyDescent="0.35">
      <c r="A58" s="1">
        <v>78</v>
      </c>
      <c r="B58" s="1">
        <v>80</v>
      </c>
      <c r="C58" s="1">
        <v>162</v>
      </c>
      <c r="D58" s="1" t="s">
        <v>4</v>
      </c>
      <c r="E58" s="1">
        <f t="shared" si="0"/>
        <v>1.5827793605571326E-4</v>
      </c>
      <c r="F58" s="1"/>
    </row>
    <row r="59" spans="1:6" x14ac:dyDescent="0.35">
      <c r="A59" s="1">
        <v>49</v>
      </c>
      <c r="B59" s="1">
        <v>60</v>
      </c>
      <c r="C59" s="1">
        <v>89</v>
      </c>
      <c r="D59" s="2" t="s">
        <v>4</v>
      </c>
      <c r="E59" s="2">
        <f t="shared" si="0"/>
        <v>2.522357257509746E-3</v>
      </c>
      <c r="F59" s="1"/>
    </row>
    <row r="60" spans="1:6" x14ac:dyDescent="0.35">
      <c r="A60" s="1">
        <v>27</v>
      </c>
      <c r="B60" s="1">
        <v>50</v>
      </c>
      <c r="C60" s="1">
        <v>21</v>
      </c>
      <c r="D60" s="2" t="s">
        <v>5</v>
      </c>
      <c r="E60" s="2">
        <f t="shared" si="0"/>
        <v>4.0564373897707229E-2</v>
      </c>
      <c r="F60" s="1">
        <f>GEOMEAN(E59:E60)</f>
        <v>1.0115228267183135E-2</v>
      </c>
    </row>
    <row r="61" spans="1:6" x14ac:dyDescent="0.35">
      <c r="A61" s="1">
        <v>67</v>
      </c>
      <c r="B61" s="1">
        <v>75</v>
      </c>
      <c r="C61" s="1">
        <v>119</v>
      </c>
      <c r="D61" s="2" t="s">
        <v>4</v>
      </c>
      <c r="E61" s="2">
        <f t="shared" si="0"/>
        <v>1.0033864291985443E-3</v>
      </c>
      <c r="F61" s="1"/>
    </row>
    <row r="62" spans="1:6" x14ac:dyDescent="0.35">
      <c r="A62" s="1">
        <v>15</v>
      </c>
      <c r="B62" s="1">
        <v>35</v>
      </c>
      <c r="C62" s="1">
        <v>13</v>
      </c>
      <c r="D62" s="2" t="s">
        <v>5</v>
      </c>
      <c r="E62" s="2">
        <f t="shared" si="0"/>
        <v>0.10256410256410257</v>
      </c>
      <c r="F62" s="1">
        <f>GEOMEAN(E61:E62)</f>
        <v>1.0144527028686363E-2</v>
      </c>
    </row>
    <row r="63" spans="1:6" x14ac:dyDescent="0.35">
      <c r="A63" s="1">
        <v>11</v>
      </c>
      <c r="B63" s="1">
        <v>30</v>
      </c>
      <c r="C63" s="1">
        <v>7</v>
      </c>
      <c r="D63" s="1" t="s">
        <v>5</v>
      </c>
      <c r="E63" s="1">
        <f t="shared" si="0"/>
        <v>0.24675324675324672</v>
      </c>
      <c r="F63" s="1"/>
    </row>
    <row r="64" spans="1:6" x14ac:dyDescent="0.35">
      <c r="A64" s="1">
        <v>40</v>
      </c>
      <c r="B64" s="1">
        <v>55</v>
      </c>
      <c r="C64" s="1">
        <v>62</v>
      </c>
      <c r="D64" s="1" t="s">
        <v>4</v>
      </c>
      <c r="E64" s="1">
        <f t="shared" si="0"/>
        <v>6.0483870967741934E-3</v>
      </c>
      <c r="F64" s="1"/>
    </row>
    <row r="65" spans="1:6" x14ac:dyDescent="0.35">
      <c r="A65" s="1">
        <v>49</v>
      </c>
      <c r="B65" s="1">
        <v>60</v>
      </c>
      <c r="C65" s="1">
        <v>89</v>
      </c>
      <c r="D65" s="1" t="s">
        <v>4</v>
      </c>
      <c r="E65" s="1">
        <f t="shared" si="0"/>
        <v>2.522357257509746E-3</v>
      </c>
      <c r="F65" s="1"/>
    </row>
    <row r="66" spans="1:6" x14ac:dyDescent="0.35">
      <c r="A66" s="1">
        <v>40</v>
      </c>
      <c r="B66" s="1">
        <v>55</v>
      </c>
      <c r="C66" s="1">
        <v>62</v>
      </c>
      <c r="D66" s="2" t="s">
        <v>4</v>
      </c>
      <c r="E66" s="2">
        <f t="shared" si="0"/>
        <v>6.0483870967741934E-3</v>
      </c>
      <c r="F66" s="1"/>
    </row>
    <row r="67" spans="1:6" x14ac:dyDescent="0.35">
      <c r="A67" s="1">
        <v>11</v>
      </c>
      <c r="B67" s="1">
        <v>30</v>
      </c>
      <c r="C67" s="1">
        <v>7</v>
      </c>
      <c r="D67" s="2" t="s">
        <v>5</v>
      </c>
      <c r="E67" s="2">
        <f t="shared" ref="E67:E100" si="1">((B67/A67)-1)/C67</f>
        <v>0.24675324675324672</v>
      </c>
      <c r="F67" s="1">
        <f>GEOMEAN(E66:E67)</f>
        <v>3.8632358894448528E-2</v>
      </c>
    </row>
    <row r="68" spans="1:6" x14ac:dyDescent="0.35">
      <c r="A68" s="1">
        <v>15</v>
      </c>
      <c r="B68" s="1">
        <v>35</v>
      </c>
      <c r="C68" s="1">
        <v>13</v>
      </c>
      <c r="D68" s="1" t="s">
        <v>5</v>
      </c>
      <c r="E68" s="1">
        <f t="shared" si="1"/>
        <v>0.10256410256410257</v>
      </c>
      <c r="F68" s="1"/>
    </row>
    <row r="69" spans="1:6" x14ac:dyDescent="0.35">
      <c r="A69" s="1">
        <v>67</v>
      </c>
      <c r="B69" s="1">
        <v>75</v>
      </c>
      <c r="C69" s="1">
        <v>119</v>
      </c>
      <c r="D69" s="2" t="s">
        <v>4</v>
      </c>
      <c r="E69" s="2">
        <f t="shared" si="1"/>
        <v>1.0033864291985443E-3</v>
      </c>
      <c r="F69" s="1"/>
    </row>
    <row r="70" spans="1:6" x14ac:dyDescent="0.35">
      <c r="A70" s="1">
        <v>27</v>
      </c>
      <c r="B70" s="1">
        <v>50</v>
      </c>
      <c r="C70" s="1">
        <v>21</v>
      </c>
      <c r="D70" s="2" t="s">
        <v>5</v>
      </c>
      <c r="E70" s="2">
        <f t="shared" si="1"/>
        <v>4.0564373897707229E-2</v>
      </c>
      <c r="F70" s="1">
        <f>GEOMEAN(E69:E70)</f>
        <v>6.3797917111685625E-3</v>
      </c>
    </row>
    <row r="71" spans="1:6" x14ac:dyDescent="0.35">
      <c r="A71" s="1">
        <v>78</v>
      </c>
      <c r="B71" s="1">
        <v>80</v>
      </c>
      <c r="C71" s="1">
        <v>162</v>
      </c>
      <c r="D71" s="2" t="s">
        <v>4</v>
      </c>
      <c r="E71" s="2">
        <f t="shared" si="1"/>
        <v>1.5827793605571326E-4</v>
      </c>
      <c r="F71" s="1"/>
    </row>
    <row r="72" spans="1:6" x14ac:dyDescent="0.35">
      <c r="A72" s="1">
        <v>11</v>
      </c>
      <c r="B72" s="1">
        <v>30</v>
      </c>
      <c r="C72" s="1">
        <v>7</v>
      </c>
      <c r="D72" s="2" t="s">
        <v>5</v>
      </c>
      <c r="E72" s="2">
        <f t="shared" si="1"/>
        <v>0.24675324675324672</v>
      </c>
      <c r="F72" s="1">
        <f>GEOMEAN(E71:E72)</f>
        <v>6.2494475444754335E-3</v>
      </c>
    </row>
    <row r="73" spans="1:6" x14ac:dyDescent="0.35">
      <c r="A73" s="1">
        <v>40</v>
      </c>
      <c r="B73" s="1">
        <v>55</v>
      </c>
      <c r="C73" s="1">
        <v>62</v>
      </c>
      <c r="D73" s="2" t="s">
        <v>4</v>
      </c>
      <c r="E73" s="2">
        <f t="shared" si="1"/>
        <v>6.0483870967741934E-3</v>
      </c>
      <c r="F73" s="1"/>
    </row>
    <row r="74" spans="1:6" x14ac:dyDescent="0.35">
      <c r="A74" s="1">
        <v>15</v>
      </c>
      <c r="B74" s="1">
        <v>35</v>
      </c>
      <c r="C74" s="1">
        <v>13</v>
      </c>
      <c r="D74" s="2" t="s">
        <v>5</v>
      </c>
      <c r="E74" s="2">
        <f t="shared" si="1"/>
        <v>0.10256410256410257</v>
      </c>
      <c r="F74" s="1">
        <f>GEOMEAN(E73:E74)</f>
        <v>2.4906774069335894E-2</v>
      </c>
    </row>
    <row r="75" spans="1:6" x14ac:dyDescent="0.35">
      <c r="A75" s="1">
        <v>67</v>
      </c>
      <c r="B75" s="1">
        <v>75</v>
      </c>
      <c r="C75" s="1">
        <v>119</v>
      </c>
      <c r="D75" s="2" t="s">
        <v>4</v>
      </c>
      <c r="E75" s="2">
        <f t="shared" si="1"/>
        <v>1.0033864291985443E-3</v>
      </c>
      <c r="F75" s="1"/>
    </row>
    <row r="76" spans="1:6" x14ac:dyDescent="0.35">
      <c r="A76" s="1">
        <v>27</v>
      </c>
      <c r="B76" s="1">
        <v>50</v>
      </c>
      <c r="C76" s="1">
        <v>21</v>
      </c>
      <c r="D76" s="2" t="s">
        <v>5</v>
      </c>
      <c r="E76" s="2">
        <f t="shared" si="1"/>
        <v>4.0564373897707229E-2</v>
      </c>
      <c r="F76" s="1">
        <f>GEOMEAN(E75:E76)</f>
        <v>6.3797917111685625E-3</v>
      </c>
    </row>
    <row r="77" spans="1:6" x14ac:dyDescent="0.35">
      <c r="A77" s="1">
        <v>78</v>
      </c>
      <c r="B77" s="1">
        <v>80</v>
      </c>
      <c r="C77" s="1">
        <v>162</v>
      </c>
      <c r="D77" s="1" t="s">
        <v>4</v>
      </c>
      <c r="E77" s="1">
        <f t="shared" si="1"/>
        <v>1.5827793605571326E-4</v>
      </c>
      <c r="F77" s="1"/>
    </row>
    <row r="78" spans="1:6" x14ac:dyDescent="0.35">
      <c r="A78" s="1">
        <v>49</v>
      </c>
      <c r="B78" s="1">
        <v>60</v>
      </c>
      <c r="C78" s="1">
        <v>89</v>
      </c>
      <c r="D78" s="2" t="s">
        <v>4</v>
      </c>
      <c r="E78" s="2">
        <f t="shared" si="1"/>
        <v>2.522357257509746E-3</v>
      </c>
      <c r="F78" s="1"/>
    </row>
    <row r="79" spans="1:6" x14ac:dyDescent="0.35">
      <c r="A79" s="1">
        <v>15</v>
      </c>
      <c r="B79" s="1">
        <v>35</v>
      </c>
      <c r="C79" s="1">
        <v>13</v>
      </c>
      <c r="D79" s="2" t="s">
        <v>5</v>
      </c>
      <c r="E79" s="2">
        <f t="shared" si="1"/>
        <v>0.10256410256410257</v>
      </c>
      <c r="F79" s="1">
        <f>GEOMEAN(E78:E79)</f>
        <v>1.6084256540559717E-2</v>
      </c>
    </row>
    <row r="80" spans="1:6" x14ac:dyDescent="0.35">
      <c r="A80" s="1">
        <v>27</v>
      </c>
      <c r="B80" s="1">
        <v>50</v>
      </c>
      <c r="C80" s="1">
        <v>21</v>
      </c>
      <c r="D80" s="1" t="s">
        <v>5</v>
      </c>
      <c r="E80" s="1">
        <f t="shared" si="1"/>
        <v>4.0564373897707229E-2</v>
      </c>
      <c r="F80" s="1"/>
    </row>
    <row r="81" spans="1:6" x14ac:dyDescent="0.35">
      <c r="A81" s="1">
        <v>78</v>
      </c>
      <c r="B81" s="1">
        <v>80</v>
      </c>
      <c r="C81" s="1">
        <v>162</v>
      </c>
      <c r="D81" s="2" t="s">
        <v>4</v>
      </c>
      <c r="E81" s="2">
        <f t="shared" si="1"/>
        <v>1.5827793605571326E-4</v>
      </c>
      <c r="F81" s="1"/>
    </row>
    <row r="82" spans="1:6" x14ac:dyDescent="0.35">
      <c r="A82" s="1">
        <v>11</v>
      </c>
      <c r="B82" s="1">
        <v>30</v>
      </c>
      <c r="C82" s="1">
        <v>7</v>
      </c>
      <c r="D82" s="2" t="s">
        <v>5</v>
      </c>
      <c r="E82" s="2">
        <f t="shared" si="1"/>
        <v>0.24675324675324672</v>
      </c>
      <c r="F82" s="1">
        <f>GEOMEAN(E81:E82)</f>
        <v>6.2494475444754335E-3</v>
      </c>
    </row>
    <row r="83" spans="1:6" x14ac:dyDescent="0.35">
      <c r="A83" s="1">
        <v>49</v>
      </c>
      <c r="B83" s="1">
        <v>60</v>
      </c>
      <c r="C83" s="1">
        <v>89</v>
      </c>
      <c r="D83" s="1" t="s">
        <v>4</v>
      </c>
      <c r="E83" s="1">
        <f t="shared" si="1"/>
        <v>2.522357257509746E-3</v>
      </c>
      <c r="F83" s="1"/>
    </row>
    <row r="84" spans="1:6" x14ac:dyDescent="0.35">
      <c r="A84" s="1">
        <v>67</v>
      </c>
      <c r="B84" s="1">
        <v>75</v>
      </c>
      <c r="C84" s="1">
        <v>119</v>
      </c>
      <c r="D84" s="1" t="s">
        <v>4</v>
      </c>
      <c r="E84" s="1">
        <f t="shared" si="1"/>
        <v>1.0033864291985443E-3</v>
      </c>
      <c r="F84" s="1"/>
    </row>
    <row r="85" spans="1:6" x14ac:dyDescent="0.35">
      <c r="A85" s="1">
        <v>40</v>
      </c>
      <c r="B85" s="1">
        <v>55</v>
      </c>
      <c r="C85" s="1">
        <v>62</v>
      </c>
      <c r="D85" s="2" t="s">
        <v>4</v>
      </c>
      <c r="E85" s="2">
        <f t="shared" si="1"/>
        <v>6.0483870967741934E-3</v>
      </c>
      <c r="F85" s="1"/>
    </row>
    <row r="86" spans="1:6" x14ac:dyDescent="0.35">
      <c r="A86" s="1">
        <v>27</v>
      </c>
      <c r="B86" s="1">
        <v>50</v>
      </c>
      <c r="C86" s="1">
        <v>21</v>
      </c>
      <c r="D86" s="2" t="s">
        <v>5</v>
      </c>
      <c r="E86" s="2">
        <f t="shared" si="1"/>
        <v>4.0564373897707229E-2</v>
      </c>
      <c r="F86" s="1">
        <f>GEOMEAN(E85:E86)</f>
        <v>1.5663621409866119E-2</v>
      </c>
    </row>
    <row r="87" spans="1:6" x14ac:dyDescent="0.35">
      <c r="A87" s="1">
        <v>67</v>
      </c>
      <c r="B87" s="1">
        <v>75</v>
      </c>
      <c r="C87" s="1">
        <v>119</v>
      </c>
      <c r="D87" s="1" t="s">
        <v>4</v>
      </c>
      <c r="E87" s="1">
        <f t="shared" si="1"/>
        <v>1.0033864291985443E-3</v>
      </c>
      <c r="F87" s="1"/>
    </row>
    <row r="88" spans="1:6" x14ac:dyDescent="0.35">
      <c r="A88" s="1">
        <v>40</v>
      </c>
      <c r="B88" s="1">
        <v>55</v>
      </c>
      <c r="C88" s="1">
        <v>62</v>
      </c>
      <c r="D88" s="2" t="s">
        <v>4</v>
      </c>
      <c r="E88" s="2">
        <f t="shared" si="1"/>
        <v>6.0483870967741934E-3</v>
      </c>
      <c r="F88" s="1"/>
    </row>
    <row r="89" spans="1:6" x14ac:dyDescent="0.35">
      <c r="A89" s="1">
        <v>15</v>
      </c>
      <c r="B89" s="1">
        <v>35</v>
      </c>
      <c r="C89" s="1">
        <v>13</v>
      </c>
      <c r="D89" s="2" t="s">
        <v>5</v>
      </c>
      <c r="E89" s="2">
        <f t="shared" si="1"/>
        <v>0.10256410256410257</v>
      </c>
      <c r="F89" s="1">
        <f>GEOMEAN(E88:E89)</f>
        <v>2.4906774069335894E-2</v>
      </c>
    </row>
    <row r="90" spans="1:6" x14ac:dyDescent="0.35">
      <c r="A90" s="1">
        <v>78</v>
      </c>
      <c r="B90" s="1">
        <v>80</v>
      </c>
      <c r="C90" s="1">
        <v>162</v>
      </c>
      <c r="D90" s="1" t="s">
        <v>4</v>
      </c>
      <c r="E90" s="1">
        <f t="shared" si="1"/>
        <v>1.5827793605571326E-4</v>
      </c>
      <c r="F90" s="1"/>
    </row>
    <row r="91" spans="1:6" x14ac:dyDescent="0.35">
      <c r="A91" s="1">
        <v>49</v>
      </c>
      <c r="B91" s="1">
        <v>60</v>
      </c>
      <c r="C91" s="1">
        <v>89</v>
      </c>
      <c r="D91" s="2" t="s">
        <v>4</v>
      </c>
      <c r="E91" s="2">
        <f t="shared" si="1"/>
        <v>2.522357257509746E-3</v>
      </c>
      <c r="F91" s="1"/>
    </row>
    <row r="92" spans="1:6" x14ac:dyDescent="0.35">
      <c r="A92" s="1">
        <v>11</v>
      </c>
      <c r="B92" s="1">
        <v>30</v>
      </c>
      <c r="C92" s="1">
        <v>7</v>
      </c>
      <c r="D92" s="2" t="s">
        <v>5</v>
      </c>
      <c r="E92" s="2">
        <f t="shared" si="1"/>
        <v>0.24675324675324672</v>
      </c>
      <c r="F92" s="1">
        <f>GEOMEAN(E91:E92)</f>
        <v>2.494794265590141E-2</v>
      </c>
    </row>
    <row r="93" spans="1:6" x14ac:dyDescent="0.35">
      <c r="A93" s="1">
        <v>40</v>
      </c>
      <c r="B93" s="1">
        <v>55</v>
      </c>
      <c r="C93" s="1">
        <v>62</v>
      </c>
      <c r="D93" s="2" t="s">
        <v>4</v>
      </c>
      <c r="E93" s="2">
        <f t="shared" si="1"/>
        <v>6.0483870967741934E-3</v>
      </c>
      <c r="F93" s="1"/>
    </row>
    <row r="94" spans="1:6" x14ac:dyDescent="0.35">
      <c r="A94" s="1">
        <v>15</v>
      </c>
      <c r="B94" s="1">
        <v>35</v>
      </c>
      <c r="C94" s="1">
        <v>13</v>
      </c>
      <c r="D94" s="2" t="s">
        <v>5</v>
      </c>
      <c r="E94" s="2">
        <f t="shared" si="1"/>
        <v>0.10256410256410257</v>
      </c>
      <c r="F94" s="1">
        <f>GEOMEAN(E93:E94)</f>
        <v>2.4906774069335894E-2</v>
      </c>
    </row>
    <row r="95" spans="1:6" x14ac:dyDescent="0.35">
      <c r="A95" s="1">
        <v>11</v>
      </c>
      <c r="B95" s="1">
        <v>30</v>
      </c>
      <c r="C95" s="1">
        <v>7</v>
      </c>
      <c r="D95" s="1" t="s">
        <v>5</v>
      </c>
      <c r="E95" s="1">
        <f t="shared" si="1"/>
        <v>0.24675324675324672</v>
      </c>
      <c r="F95" s="1"/>
    </row>
    <row r="96" spans="1:6" x14ac:dyDescent="0.35">
      <c r="A96" s="1">
        <v>78</v>
      </c>
      <c r="B96" s="1">
        <v>80</v>
      </c>
      <c r="C96" s="1">
        <v>162</v>
      </c>
      <c r="D96" s="2" t="s">
        <v>4</v>
      </c>
      <c r="E96" s="2">
        <f t="shared" si="1"/>
        <v>1.5827793605571326E-4</v>
      </c>
      <c r="F96" s="1"/>
    </row>
    <row r="97" spans="1:6" x14ac:dyDescent="0.35">
      <c r="A97" s="1">
        <v>27</v>
      </c>
      <c r="B97" s="1">
        <v>50</v>
      </c>
      <c r="C97" s="1">
        <v>21</v>
      </c>
      <c r="D97" s="2" t="s">
        <v>5</v>
      </c>
      <c r="E97" s="2">
        <f t="shared" si="1"/>
        <v>4.0564373897707229E-2</v>
      </c>
      <c r="F97" s="1">
        <f>GEOMEAN(E96:E97)</f>
        <v>2.5338597786620613E-3</v>
      </c>
    </row>
    <row r="98" spans="1:6" x14ac:dyDescent="0.35">
      <c r="A98" s="1">
        <v>67</v>
      </c>
      <c r="B98" s="1">
        <v>75</v>
      </c>
      <c r="C98" s="1">
        <v>119</v>
      </c>
      <c r="D98" s="1" t="s">
        <v>4</v>
      </c>
      <c r="E98" s="1">
        <f t="shared" si="1"/>
        <v>1.0033864291985443E-3</v>
      </c>
      <c r="F98" s="1"/>
    </row>
    <row r="99" spans="1:6" x14ac:dyDescent="0.35">
      <c r="A99" s="1">
        <v>49</v>
      </c>
      <c r="B99" s="1">
        <v>60</v>
      </c>
      <c r="C99" s="1">
        <v>89</v>
      </c>
      <c r="D99" s="2" t="s">
        <v>4</v>
      </c>
      <c r="E99" s="2">
        <f t="shared" si="1"/>
        <v>2.522357257509746E-3</v>
      </c>
      <c r="F99" s="1"/>
    </row>
    <row r="100" spans="1:6" x14ac:dyDescent="0.35">
      <c r="A100" s="1">
        <v>11</v>
      </c>
      <c r="B100" s="1">
        <v>30</v>
      </c>
      <c r="C100" s="1">
        <v>7</v>
      </c>
      <c r="D100" s="2" t="s">
        <v>5</v>
      </c>
      <c r="E100" s="2">
        <f t="shared" si="1"/>
        <v>0.24675324675324672</v>
      </c>
      <c r="F100" s="1">
        <f>GEOMEAN(E99:E100)</f>
        <v>2.494794265590141E-2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Heer Mankad</dc:creator>
  <cp:lastModifiedBy>Heer Mankad</cp:lastModifiedBy>
  <dcterms:created xsi:type="dcterms:W3CDTF">2025-10-18T14:23:43Z</dcterms:created>
  <dcterms:modified xsi:type="dcterms:W3CDTF">2025-11-06T07:57:29Z</dcterms:modified>
</cp:coreProperties>
</file>