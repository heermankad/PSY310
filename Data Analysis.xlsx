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https://d.docs.live.net/14b6dac49258289e/Desktop/PSY310/Stroop Task/"/>
    </mc:Choice>
  </mc:AlternateContent>
  <xr:revisionPtr revIDLastSave="133" documentId="8_{576930C2-5D6D-4ED6-8459-00C89B73F388}" xr6:coauthVersionLast="47" xr6:coauthVersionMax="47" xr10:uidLastSave="{170FDFE3-5935-4B30-B092-857F4E05B2E3}"/>
  <bookViews>
    <workbookView xWindow="-110" yWindow="-110" windowWidth="19420" windowHeight="11500" firstSheet="4" activeTab="4" xr2:uid="{A934C9AA-FFFC-4E57-BA83-417966F089E9}"/>
  </bookViews>
  <sheets>
    <sheet name="Raw (1st p.)" sheetId="1" r:id="rId1"/>
    <sheet name="Raw(2nd p.)" sheetId="3" r:id="rId2"/>
    <sheet name="Raw(3rd p.)" sheetId="4" r:id="rId3"/>
    <sheet name="Raw(4th p.)" sheetId="5" r:id="rId4"/>
    <sheet name="Data analysis " sheetId="2" r:id="rId5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53" i="2" l="1"/>
  <c r="C52" i="2"/>
  <c r="C53" i="2" s="1"/>
  <c r="C51" i="2"/>
  <c r="F46" i="2" s="1"/>
  <c r="G46" i="2"/>
  <c r="D52" i="2"/>
  <c r="D51" i="2"/>
  <c r="D49" i="2"/>
  <c r="C49" i="2"/>
  <c r="D48" i="2"/>
  <c r="C48" i="2"/>
  <c r="D47" i="2"/>
  <c r="C47" i="2"/>
  <c r="D46" i="2"/>
  <c r="C46" i="2"/>
</calcChain>
</file>

<file path=xl/sharedStrings.xml><?xml version="1.0" encoding="utf-8"?>
<sst xmlns="http://schemas.openxmlformats.org/spreadsheetml/2006/main" count="2303" uniqueCount="68">
  <si>
    <t>word</t>
  </si>
  <si>
    <t>colour</t>
  </si>
  <si>
    <t>stim_condition</t>
  </si>
  <si>
    <t>correct_res</t>
  </si>
  <si>
    <t>thisN</t>
  </si>
  <si>
    <t>thisTrialN</t>
  </si>
  <si>
    <t>thisRepN</t>
  </si>
  <si>
    <t>key_resp.keys</t>
  </si>
  <si>
    <t>key_resp.corr</t>
  </si>
  <si>
    <t>key_resp.rt</t>
  </si>
  <si>
    <t>key_resp.duration</t>
  </si>
  <si>
    <t>trials.thisRepN</t>
  </si>
  <si>
    <t>trials.thisTrialN</t>
  </si>
  <si>
    <t>trials.thisN</t>
  </si>
  <si>
    <t>trials.thisIndex</t>
  </si>
  <si>
    <t>thisRow.t</t>
  </si>
  <si>
    <t>notes</t>
  </si>
  <si>
    <t>instruction.started</t>
  </si>
  <si>
    <t>text_2.started</t>
  </si>
  <si>
    <t>text_2.stopped</t>
  </si>
  <si>
    <t>instruction.stopped</t>
  </si>
  <si>
    <t>trial.started</t>
  </si>
  <si>
    <t>fixation.started</t>
  </si>
  <si>
    <t>fixation.stopped</t>
  </si>
  <si>
    <t>text.started</t>
  </si>
  <si>
    <t>key_resp.started</t>
  </si>
  <si>
    <t>trial.stopped</t>
  </si>
  <si>
    <t>trials.key_resp.keys</t>
  </si>
  <si>
    <t>trials.key_resp.corr</t>
  </si>
  <si>
    <t>trials.key_resp.rt</t>
  </si>
  <si>
    <t>trials.key_resp.duration</t>
  </si>
  <si>
    <t>thanks.started</t>
  </si>
  <si>
    <t>text_3.started</t>
  </si>
  <si>
    <t>text_3.stopped</t>
  </si>
  <si>
    <t>thanks.stopped</t>
  </si>
  <si>
    <t>participant</t>
  </si>
  <si>
    <t>session</t>
  </si>
  <si>
    <t>date</t>
  </si>
  <si>
    <t>expName</t>
  </si>
  <si>
    <t>expVersion</t>
  </si>
  <si>
    <t>psychopyVersion</t>
  </si>
  <si>
    <t>frameRate</t>
  </si>
  <si>
    <t>expStart</t>
  </si>
  <si>
    <t>RED</t>
  </si>
  <si>
    <t>red</t>
  </si>
  <si>
    <t>C</t>
  </si>
  <si>
    <t>r</t>
  </si>
  <si>
    <t>None</t>
  </si>
  <si>
    <t>2025-08-21_17h31.06.419</t>
  </si>
  <si>
    <t>stroop</t>
  </si>
  <si>
    <t>2025.1.1</t>
  </si>
  <si>
    <t>2025-08-21 17h31.11.931362 +0530</t>
  </si>
  <si>
    <t>BLUE</t>
  </si>
  <si>
    <t>blue</t>
  </si>
  <si>
    <t>b</t>
  </si>
  <si>
    <t>I</t>
  </si>
  <si>
    <t>2025-08-22_12h54.19.788</t>
  </si>
  <si>
    <t>2025-08-22 12h54.41.876049 +0530</t>
  </si>
  <si>
    <t>2025-08-22_12h57.50.919</t>
  </si>
  <si>
    <t>2025-08-22 12h57.55.721041 +0530</t>
  </si>
  <si>
    <t>2025-08-22_16h05.37.861</t>
  </si>
  <si>
    <t>2025-08-22 16h05.47.295514 +0530</t>
  </si>
  <si>
    <t>Participants</t>
  </si>
  <si>
    <t xml:space="preserve">Congruent </t>
  </si>
  <si>
    <t xml:space="preserve">Incongruent </t>
  </si>
  <si>
    <t>Grand mean</t>
  </si>
  <si>
    <t>Standard deviation</t>
  </si>
  <si>
    <t>Standard Error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</si>
</sst>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1" xfId="0" applyBorder="1"/>
    <xf numFmtId="0" fontId="0" fillId="2" borderId="0" xfId="0" applyFill="1"/>
    <xf numFmtId="0" fontId="0" fillId="2" borderId="1" xfId="0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0" i="0" u="none" strike="noStrike" kern="1200" cap="none" spc="50" normalizeH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j-lt"/>
                <a:ea typeface="+mj-ea"/>
                <a:cs typeface="+mj-cs"/>
              </a:defRPr>
            </a:pPr>
            <a:r>
              <a:rPr lang="en-IN"/>
              <a:t>Stroop</a:t>
            </a:r>
            <a:r>
              <a:rPr lang="en-IN" baseline="0"/>
              <a:t> Task</a:t>
            </a:r>
            <a:endParaRPr lang="en-IN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0" i="0" u="none" strike="noStrike" kern="1200" cap="none" spc="50" normalizeH="0" baseline="0">
              <a:solidFill>
                <a:schemeClr val="tx1">
                  <a:lumMod val="65000"/>
                  <a:lumOff val="35000"/>
                </a:schemeClr>
              </a:solidFill>
              <a:latin typeface="+mj-lt"/>
              <a:ea typeface="+mj-ea"/>
              <a:cs typeface="+mj-cs"/>
            </a:defRPr>
          </a:pPr>
          <a:endParaRPr lang="en-IN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errBars>
            <c:errBarType val="both"/>
            <c:errValType val="stdErr"/>
            <c:noEndCap val="0"/>
            <c:spPr>
              <a:noFill/>
              <a:ln w="9525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cat>
            <c:strRef>
              <c:f>'Data analysis '!$F$45:$G$45</c:f>
              <c:strCache>
                <c:ptCount val="2"/>
                <c:pt idx="0">
                  <c:v>Congruent </c:v>
                </c:pt>
                <c:pt idx="1">
                  <c:v>Incongruent </c:v>
                </c:pt>
              </c:strCache>
            </c:strRef>
          </c:cat>
          <c:val>
            <c:numRef>
              <c:f>'Data analysis '!$F$46:$G$46</c:f>
              <c:numCache>
                <c:formatCode>General</c:formatCode>
                <c:ptCount val="2"/>
                <c:pt idx="0">
                  <c:v>0.47724510499951561</c:v>
                </c:pt>
                <c:pt idx="1">
                  <c:v>0.55643153750056729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1F2-4512-AA44-C04E36443C3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80"/>
        <c:overlap val="25"/>
        <c:axId val="770442863"/>
        <c:axId val="770441423"/>
      </c:barChart>
      <c:catAx>
        <c:axId val="770442863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0" i="0" u="none" strike="noStrike" kern="1200" cap="all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Congruency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0" i="0" u="none" strike="noStrike" kern="1200" cap="all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1587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cap="none" spc="20" normalizeH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70441423"/>
        <c:crosses val="autoZero"/>
        <c:auto val="1"/>
        <c:lblAlgn val="ctr"/>
        <c:lblOffset val="100"/>
        <c:noMultiLvlLbl val="0"/>
      </c:catAx>
      <c:valAx>
        <c:axId val="77044142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0" i="0" u="none" strike="noStrike" kern="1200" cap="all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Reaction Time (rt)</a:t>
                </a:r>
              </a:p>
            </c:rich>
          </c:tx>
          <c:layout>
            <c:manualLayout>
              <c:xMode val="edge"/>
              <c:yMode val="edge"/>
              <c:x val="2.2222222222222223E-2"/>
              <c:y val="0.28577938174394868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900" b="0" i="0" u="none" strike="noStrike" kern="1200" cap="all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spc="2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70442863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lt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15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1587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 cap="none" spc="20" normalizeH="0" baseline="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bg1"/>
    </cs:fontRef>
    <cs:spPr>
      <a:solidFill>
        <a:schemeClr val="tx1">
          <a:lumMod val="50000"/>
          <a:lumOff val="50000"/>
        </a:schemeClr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70000"/>
        </a:schemeClr>
      </a:solid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70000"/>
        </a:schemeClr>
      </a:solidFill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8575" cap="rnd">
        <a:solidFill>
          <a:schemeClr val="phClr">
            <a:alpha val="70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70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tx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 baseline="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ajor">
      <a:schemeClr val="tx1">
        <a:lumMod val="65000"/>
        <a:lumOff val="35000"/>
      </a:schemeClr>
    </cs:fontRef>
    <cs:defRPr sz="1600" b="0" i="0" kern="1200" cap="none" spc="50" normalizeH="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5875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 spc="20" baseline="0"/>
  </cs:valueAxis>
  <cs:wall>
    <cs:lnRef idx="0"/>
    <cs:fillRef idx="0"/>
    <cs:effectRef idx="0"/>
    <cs:fontRef idx="minor">
      <a:schemeClr val="dk1"/>
    </cs:fontRef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434975</xdr:colOff>
      <xdr:row>46</xdr:row>
      <xdr:rowOff>152400</xdr:rowOff>
    </xdr:from>
    <xdr:to>
      <xdr:col>10</xdr:col>
      <xdr:colOff>555625</xdr:colOff>
      <xdr:row>61</xdr:row>
      <xdr:rowOff>133350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3A999A02-E7B6-AA27-5682-ACC634C1E03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9E634F-4F4B-42E4-9A2A-F0A6D432600C}">
  <dimension ref="A1:AT43"/>
  <sheetViews>
    <sheetView workbookViewId="0">
      <selection activeCell="E37" sqref="E37"/>
    </sheetView>
  </sheetViews>
  <sheetFormatPr defaultRowHeight="14.5" x14ac:dyDescent="0.35"/>
  <sheetData>
    <row r="1" spans="1:46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/>
      <c r="AS1" s="1"/>
      <c r="AT1" s="1"/>
    </row>
    <row r="2" spans="1:46" x14ac:dyDescent="0.35">
      <c r="A2" s="1" t="s">
        <v>43</v>
      </c>
      <c r="B2" s="1" t="s">
        <v>44</v>
      </c>
      <c r="C2" s="1" t="s">
        <v>45</v>
      </c>
      <c r="D2" s="1" t="s">
        <v>46</v>
      </c>
      <c r="E2" s="1">
        <v>0</v>
      </c>
      <c r="F2" s="1">
        <v>0</v>
      </c>
      <c r="G2" s="1">
        <v>0</v>
      </c>
      <c r="H2" s="1" t="s">
        <v>46</v>
      </c>
      <c r="I2" s="1">
        <v>1</v>
      </c>
      <c r="J2" s="1">
        <v>0.46251949999999997</v>
      </c>
      <c r="K2" s="1" t="s">
        <v>47</v>
      </c>
      <c r="L2" s="1">
        <v>0</v>
      </c>
      <c r="M2" s="1">
        <v>0</v>
      </c>
      <c r="N2" s="1">
        <v>0</v>
      </c>
      <c r="O2" s="1">
        <v>0</v>
      </c>
      <c r="P2" s="1">
        <v>2.0098623999999998</v>
      </c>
      <c r="Q2" s="1"/>
      <c r="R2" s="1"/>
      <c r="S2" s="1"/>
      <c r="T2" s="1"/>
      <c r="U2" s="1"/>
      <c r="V2" s="1">
        <v>2.0061564000000001</v>
      </c>
      <c r="W2" s="1">
        <v>2.0098623999999998</v>
      </c>
      <c r="X2" s="1">
        <v>2.5100139000000001</v>
      </c>
      <c r="Y2" s="1">
        <v>2.5100139000000001</v>
      </c>
      <c r="Z2" s="1">
        <v>2.5100139000000001</v>
      </c>
      <c r="AA2" s="1">
        <v>2.9818720999999999</v>
      </c>
      <c r="AB2" s="1" t="s">
        <v>46</v>
      </c>
      <c r="AC2" s="1">
        <v>1</v>
      </c>
      <c r="AD2" s="1">
        <v>0.46251949999999997</v>
      </c>
      <c r="AE2" s="1" t="s">
        <v>47</v>
      </c>
      <c r="AF2" s="1"/>
      <c r="AG2" s="1"/>
      <c r="AH2" s="1"/>
      <c r="AI2" s="1"/>
      <c r="AJ2" s="1">
        <v>1</v>
      </c>
      <c r="AK2" s="1">
        <v>1</v>
      </c>
      <c r="AL2" s="1" t="s">
        <v>48</v>
      </c>
      <c r="AM2" s="1" t="s">
        <v>49</v>
      </c>
      <c r="AN2" s="1"/>
      <c r="AO2" s="1" t="s">
        <v>50</v>
      </c>
      <c r="AP2" s="1">
        <v>60.055551370000003</v>
      </c>
      <c r="AQ2" s="1" t="s">
        <v>51</v>
      </c>
      <c r="AR2" s="1"/>
      <c r="AS2" s="1"/>
      <c r="AT2" s="1"/>
    </row>
    <row r="3" spans="1:46" x14ac:dyDescent="0.35">
      <c r="A3" s="1" t="s">
        <v>52</v>
      </c>
      <c r="B3" s="1" t="s">
        <v>53</v>
      </c>
      <c r="C3" s="1" t="s">
        <v>45</v>
      </c>
      <c r="D3" s="1" t="s">
        <v>54</v>
      </c>
      <c r="E3" s="1">
        <v>1</v>
      </c>
      <c r="F3" s="1">
        <v>1</v>
      </c>
      <c r="G3" s="1">
        <v>0</v>
      </c>
      <c r="H3" s="1" t="s">
        <v>54</v>
      </c>
      <c r="I3" s="1">
        <v>1</v>
      </c>
      <c r="J3" s="1">
        <v>0.4505962</v>
      </c>
      <c r="K3" s="1" t="s">
        <v>47</v>
      </c>
      <c r="L3" s="1">
        <v>0</v>
      </c>
      <c r="M3" s="1">
        <v>1</v>
      </c>
      <c r="N3" s="1">
        <v>1</v>
      </c>
      <c r="O3" s="1">
        <v>3</v>
      </c>
      <c r="P3" s="1">
        <v>2.9932333999999998</v>
      </c>
      <c r="Q3" s="1"/>
      <c r="R3" s="1"/>
      <c r="S3" s="1"/>
      <c r="T3" s="1"/>
      <c r="U3" s="1"/>
      <c r="V3" s="1">
        <v>2.9866001999999998</v>
      </c>
      <c r="W3" s="1">
        <v>2.9932333999999998</v>
      </c>
      <c r="X3" s="1">
        <v>3.4933531000000002</v>
      </c>
      <c r="Y3" s="1">
        <v>3.4933531000000002</v>
      </c>
      <c r="Z3" s="1">
        <v>3.4933531000000002</v>
      </c>
      <c r="AA3" s="1">
        <v>3.9603814000000002</v>
      </c>
      <c r="AB3" s="1" t="s">
        <v>54</v>
      </c>
      <c r="AC3" s="1">
        <v>1</v>
      </c>
      <c r="AD3" s="1">
        <v>0.4505962</v>
      </c>
      <c r="AE3" s="1" t="s">
        <v>47</v>
      </c>
      <c r="AF3" s="1"/>
      <c r="AG3" s="1"/>
      <c r="AH3" s="1"/>
      <c r="AI3" s="1"/>
      <c r="AJ3" s="1">
        <v>1</v>
      </c>
      <c r="AK3" s="1">
        <v>1</v>
      </c>
      <c r="AL3" s="1" t="s">
        <v>48</v>
      </c>
      <c r="AM3" s="1" t="s">
        <v>49</v>
      </c>
      <c r="AN3" s="1"/>
      <c r="AO3" s="1" t="s">
        <v>50</v>
      </c>
      <c r="AP3" s="1">
        <v>60.055551370000003</v>
      </c>
      <c r="AQ3" s="1" t="s">
        <v>51</v>
      </c>
      <c r="AR3" s="1"/>
      <c r="AS3" s="1"/>
      <c r="AT3" s="1"/>
    </row>
    <row r="4" spans="1:46" x14ac:dyDescent="0.35">
      <c r="A4" s="1" t="s">
        <v>43</v>
      </c>
      <c r="B4" s="1" t="s">
        <v>44</v>
      </c>
      <c r="C4" s="1" t="s">
        <v>45</v>
      </c>
      <c r="D4" s="1" t="s">
        <v>46</v>
      </c>
      <c r="E4" s="1">
        <v>5</v>
      </c>
      <c r="F4" s="1">
        <v>1</v>
      </c>
      <c r="G4" s="1">
        <v>1</v>
      </c>
      <c r="H4" s="1" t="s">
        <v>46</v>
      </c>
      <c r="I4" s="1">
        <v>1</v>
      </c>
      <c r="J4" s="1">
        <v>0.414769</v>
      </c>
      <c r="K4" s="1" t="s">
        <v>47</v>
      </c>
      <c r="L4" s="1">
        <v>1</v>
      </c>
      <c r="M4" s="1">
        <v>1</v>
      </c>
      <c r="N4" s="1">
        <v>5</v>
      </c>
      <c r="O4" s="1">
        <v>0</v>
      </c>
      <c r="P4" s="1">
        <v>7.3598486999999997</v>
      </c>
      <c r="Q4" s="1"/>
      <c r="R4" s="1"/>
      <c r="S4" s="1"/>
      <c r="T4" s="1"/>
      <c r="U4" s="1"/>
      <c r="V4" s="1">
        <v>7.3450974000000002</v>
      </c>
      <c r="W4" s="1">
        <v>7.3598486999999997</v>
      </c>
      <c r="X4" s="1">
        <v>7.8433190000000002</v>
      </c>
      <c r="Y4" s="1">
        <v>7.8433190000000002</v>
      </c>
      <c r="Z4" s="1">
        <v>7.8433190000000002</v>
      </c>
      <c r="AA4" s="1">
        <v>8.2601882</v>
      </c>
      <c r="AB4" s="1" t="s">
        <v>46</v>
      </c>
      <c r="AC4" s="1">
        <v>1</v>
      </c>
      <c r="AD4" s="1">
        <v>0.414769</v>
      </c>
      <c r="AE4" s="1" t="s">
        <v>47</v>
      </c>
      <c r="AF4" s="1"/>
      <c r="AG4" s="1"/>
      <c r="AH4" s="1"/>
      <c r="AI4" s="1"/>
      <c r="AJ4" s="1">
        <v>1</v>
      </c>
      <c r="AK4" s="1">
        <v>1</v>
      </c>
      <c r="AL4" s="1" t="s">
        <v>48</v>
      </c>
      <c r="AM4" s="1" t="s">
        <v>49</v>
      </c>
      <c r="AN4" s="1"/>
      <c r="AO4" s="1" t="s">
        <v>50</v>
      </c>
      <c r="AP4" s="1">
        <v>60.055551370000003</v>
      </c>
      <c r="AQ4" s="1" t="s">
        <v>51</v>
      </c>
      <c r="AR4" s="1"/>
      <c r="AS4" s="1"/>
      <c r="AT4" s="1"/>
    </row>
    <row r="5" spans="1:46" x14ac:dyDescent="0.35">
      <c r="A5" s="1" t="s">
        <v>52</v>
      </c>
      <c r="B5" s="1" t="s">
        <v>53</v>
      </c>
      <c r="C5" s="1" t="s">
        <v>45</v>
      </c>
      <c r="D5" s="1" t="s">
        <v>54</v>
      </c>
      <c r="E5" s="1">
        <v>7</v>
      </c>
      <c r="F5" s="1">
        <v>3</v>
      </c>
      <c r="G5" s="1">
        <v>1</v>
      </c>
      <c r="H5" s="1" t="s">
        <v>54</v>
      </c>
      <c r="I5" s="1">
        <v>1</v>
      </c>
      <c r="J5" s="1">
        <v>0.37539620000000001</v>
      </c>
      <c r="K5" s="1" t="s">
        <v>47</v>
      </c>
      <c r="L5" s="1">
        <v>1</v>
      </c>
      <c r="M5" s="1">
        <v>3</v>
      </c>
      <c r="N5" s="1">
        <v>7</v>
      </c>
      <c r="O5" s="1">
        <v>3</v>
      </c>
      <c r="P5" s="1">
        <v>9.3097432999999992</v>
      </c>
      <c r="Q5" s="1"/>
      <c r="R5" s="1"/>
      <c r="S5" s="1"/>
      <c r="T5" s="1"/>
      <c r="U5" s="1"/>
      <c r="V5" s="1">
        <v>9.2957464999999999</v>
      </c>
      <c r="W5" s="1">
        <v>9.3097432999999992</v>
      </c>
      <c r="X5" s="1">
        <v>9.7929811000000004</v>
      </c>
      <c r="Y5" s="1">
        <v>9.7929811000000004</v>
      </c>
      <c r="Z5" s="1">
        <v>9.7929811000000004</v>
      </c>
      <c r="AA5" s="1">
        <v>10.176667699999999</v>
      </c>
      <c r="AB5" s="1" t="s">
        <v>54</v>
      </c>
      <c r="AC5" s="1">
        <v>1</v>
      </c>
      <c r="AD5" s="1">
        <v>0.37539620000000001</v>
      </c>
      <c r="AE5" s="1" t="s">
        <v>47</v>
      </c>
      <c r="AF5" s="1"/>
      <c r="AG5" s="1"/>
      <c r="AH5" s="1"/>
      <c r="AI5" s="1"/>
      <c r="AJ5" s="1">
        <v>1</v>
      </c>
      <c r="AK5" s="1">
        <v>1</v>
      </c>
      <c r="AL5" s="1" t="s">
        <v>48</v>
      </c>
      <c r="AM5" s="1" t="s">
        <v>49</v>
      </c>
      <c r="AN5" s="1"/>
      <c r="AO5" s="1" t="s">
        <v>50</v>
      </c>
      <c r="AP5" s="1">
        <v>60.055551370000003</v>
      </c>
      <c r="AQ5" s="1" t="s">
        <v>51</v>
      </c>
      <c r="AR5" s="1"/>
      <c r="AS5" s="1"/>
      <c r="AT5" s="1"/>
    </row>
    <row r="6" spans="1:46" x14ac:dyDescent="0.35">
      <c r="A6" s="1" t="s">
        <v>43</v>
      </c>
      <c r="B6" s="1" t="s">
        <v>44</v>
      </c>
      <c r="C6" s="1" t="s">
        <v>45</v>
      </c>
      <c r="D6" s="1" t="s">
        <v>46</v>
      </c>
      <c r="E6" s="1">
        <v>8</v>
      </c>
      <c r="F6" s="1">
        <v>0</v>
      </c>
      <c r="G6" s="1">
        <v>2</v>
      </c>
      <c r="H6" s="1" t="s">
        <v>46</v>
      </c>
      <c r="I6" s="1">
        <v>1</v>
      </c>
      <c r="J6" s="1">
        <v>0.45232749999999999</v>
      </c>
      <c r="K6" s="1" t="s">
        <v>47</v>
      </c>
      <c r="L6" s="1">
        <v>2</v>
      </c>
      <c r="M6" s="1">
        <v>0</v>
      </c>
      <c r="N6" s="1">
        <v>8</v>
      </c>
      <c r="O6" s="1">
        <v>0</v>
      </c>
      <c r="P6" s="1">
        <v>10.192985999999999</v>
      </c>
      <c r="Q6" s="1"/>
      <c r="R6" s="1"/>
      <c r="S6" s="1"/>
      <c r="T6" s="1"/>
      <c r="U6" s="1"/>
      <c r="V6" s="1">
        <v>10.1782743</v>
      </c>
      <c r="W6" s="1">
        <v>10.192985999999999</v>
      </c>
      <c r="X6" s="1">
        <v>10.6763057</v>
      </c>
      <c r="Y6" s="1">
        <v>10.6763057</v>
      </c>
      <c r="Z6" s="1">
        <v>10.6763057</v>
      </c>
      <c r="AA6" s="1">
        <v>11.143139700000001</v>
      </c>
      <c r="AB6" s="1" t="s">
        <v>46</v>
      </c>
      <c r="AC6" s="1">
        <v>1</v>
      </c>
      <c r="AD6" s="1">
        <v>0.45232749999999999</v>
      </c>
      <c r="AE6" s="1" t="s">
        <v>47</v>
      </c>
      <c r="AF6" s="1"/>
      <c r="AG6" s="1"/>
      <c r="AH6" s="1"/>
      <c r="AI6" s="1"/>
      <c r="AJ6" s="1">
        <v>1</v>
      </c>
      <c r="AK6" s="1">
        <v>1</v>
      </c>
      <c r="AL6" s="1" t="s">
        <v>48</v>
      </c>
      <c r="AM6" s="1" t="s">
        <v>49</v>
      </c>
      <c r="AN6" s="1"/>
      <c r="AO6" s="1" t="s">
        <v>50</v>
      </c>
      <c r="AP6" s="1">
        <v>60.055551370000003</v>
      </c>
      <c r="AQ6" s="1" t="s">
        <v>51</v>
      </c>
      <c r="AR6" s="1"/>
      <c r="AS6" s="1"/>
      <c r="AT6" s="1"/>
    </row>
    <row r="7" spans="1:46" x14ac:dyDescent="0.35">
      <c r="A7" s="1" t="s">
        <v>52</v>
      </c>
      <c r="B7" s="1" t="s">
        <v>53</v>
      </c>
      <c r="C7" s="1" t="s">
        <v>45</v>
      </c>
      <c r="D7" s="1" t="s">
        <v>54</v>
      </c>
      <c r="E7" s="1">
        <v>10</v>
      </c>
      <c r="F7" s="1">
        <v>2</v>
      </c>
      <c r="G7" s="1">
        <v>2</v>
      </c>
      <c r="H7" s="1" t="s">
        <v>54</v>
      </c>
      <c r="I7" s="1">
        <v>1</v>
      </c>
      <c r="J7" s="1">
        <v>0.5134242</v>
      </c>
      <c r="K7" s="1" t="s">
        <v>47</v>
      </c>
      <c r="L7" s="1">
        <v>2</v>
      </c>
      <c r="M7" s="1">
        <v>2</v>
      </c>
      <c r="N7" s="1">
        <v>10</v>
      </c>
      <c r="O7" s="1">
        <v>3</v>
      </c>
      <c r="P7" s="1">
        <v>12.259494500000001</v>
      </c>
      <c r="Q7" s="1"/>
      <c r="R7" s="1"/>
      <c r="S7" s="1"/>
      <c r="T7" s="1"/>
      <c r="U7" s="1"/>
      <c r="V7" s="1">
        <v>12.243895699999999</v>
      </c>
      <c r="W7" s="1">
        <v>12.259494500000001</v>
      </c>
      <c r="X7" s="1">
        <v>12.7428741</v>
      </c>
      <c r="Y7" s="1">
        <v>12.7428741</v>
      </c>
      <c r="Z7" s="1">
        <v>12.7428741</v>
      </c>
      <c r="AA7" s="1">
        <v>13.260005</v>
      </c>
      <c r="AB7" s="1" t="s">
        <v>54</v>
      </c>
      <c r="AC7" s="1">
        <v>1</v>
      </c>
      <c r="AD7" s="1">
        <v>0.5134242</v>
      </c>
      <c r="AE7" s="1" t="s">
        <v>47</v>
      </c>
      <c r="AF7" s="1"/>
      <c r="AG7" s="1"/>
      <c r="AH7" s="1"/>
      <c r="AI7" s="1"/>
      <c r="AJ7" s="1">
        <v>1</v>
      </c>
      <c r="AK7" s="1">
        <v>1</v>
      </c>
      <c r="AL7" s="1" t="s">
        <v>48</v>
      </c>
      <c r="AM7" s="1" t="s">
        <v>49</v>
      </c>
      <c r="AN7" s="1"/>
      <c r="AO7" s="1" t="s">
        <v>50</v>
      </c>
      <c r="AP7" s="1">
        <v>60.055551370000003</v>
      </c>
      <c r="AQ7" s="1" t="s">
        <v>51</v>
      </c>
      <c r="AR7" s="1"/>
      <c r="AS7" s="1"/>
      <c r="AT7" s="1"/>
    </row>
    <row r="8" spans="1:46" x14ac:dyDescent="0.35">
      <c r="A8" s="1" t="s">
        <v>43</v>
      </c>
      <c r="B8" s="1" t="s">
        <v>44</v>
      </c>
      <c r="C8" s="1" t="s">
        <v>45</v>
      </c>
      <c r="D8" s="1" t="s">
        <v>46</v>
      </c>
      <c r="E8" s="1">
        <v>14</v>
      </c>
      <c r="F8" s="1">
        <v>2</v>
      </c>
      <c r="G8" s="1">
        <v>3</v>
      </c>
      <c r="H8" s="1" t="s">
        <v>46</v>
      </c>
      <c r="I8" s="1">
        <v>1</v>
      </c>
      <c r="J8" s="1">
        <v>0.40201409999999999</v>
      </c>
      <c r="K8" s="1" t="s">
        <v>47</v>
      </c>
      <c r="L8" s="1">
        <v>3</v>
      </c>
      <c r="M8" s="1">
        <v>2</v>
      </c>
      <c r="N8" s="1">
        <v>14</v>
      </c>
      <c r="O8" s="1">
        <v>0</v>
      </c>
      <c r="P8" s="1">
        <v>16.342573099999999</v>
      </c>
      <c r="Q8" s="1"/>
      <c r="R8" s="1"/>
      <c r="S8" s="1"/>
      <c r="T8" s="1"/>
      <c r="U8" s="1"/>
      <c r="V8" s="1">
        <v>16.3266715</v>
      </c>
      <c r="W8" s="1">
        <v>16.342573099999999</v>
      </c>
      <c r="X8" s="1">
        <v>16.825948</v>
      </c>
      <c r="Y8" s="1">
        <v>16.825948</v>
      </c>
      <c r="Z8" s="1">
        <v>16.825948</v>
      </c>
      <c r="AA8" s="1">
        <v>17.243259500000001</v>
      </c>
      <c r="AB8" s="1" t="s">
        <v>46</v>
      </c>
      <c r="AC8" s="1">
        <v>1</v>
      </c>
      <c r="AD8" s="1">
        <v>0.40201409999999999</v>
      </c>
      <c r="AE8" s="1" t="s">
        <v>47</v>
      </c>
      <c r="AF8" s="1"/>
      <c r="AG8" s="1"/>
      <c r="AH8" s="1"/>
      <c r="AI8" s="1"/>
      <c r="AJ8" s="1">
        <v>1</v>
      </c>
      <c r="AK8" s="1">
        <v>1</v>
      </c>
      <c r="AL8" s="1" t="s">
        <v>48</v>
      </c>
      <c r="AM8" s="1" t="s">
        <v>49</v>
      </c>
      <c r="AN8" s="1"/>
      <c r="AO8" s="1" t="s">
        <v>50</v>
      </c>
      <c r="AP8" s="1">
        <v>60.055551370000003</v>
      </c>
      <c r="AQ8" s="1" t="s">
        <v>51</v>
      </c>
      <c r="AR8" s="1"/>
      <c r="AS8" s="1"/>
      <c r="AT8" s="1"/>
    </row>
    <row r="9" spans="1:46" x14ac:dyDescent="0.35">
      <c r="A9" s="1" t="s">
        <v>52</v>
      </c>
      <c r="B9" s="1" t="s">
        <v>53</v>
      </c>
      <c r="C9" s="1" t="s">
        <v>45</v>
      </c>
      <c r="D9" s="1" t="s">
        <v>54</v>
      </c>
      <c r="E9" s="1">
        <v>15</v>
      </c>
      <c r="F9" s="1">
        <v>3</v>
      </c>
      <c r="G9" s="1">
        <v>3</v>
      </c>
      <c r="H9" s="1" t="s">
        <v>54</v>
      </c>
      <c r="I9" s="1">
        <v>1</v>
      </c>
      <c r="J9" s="1">
        <v>0.55295380000000005</v>
      </c>
      <c r="K9" s="1" t="s">
        <v>47</v>
      </c>
      <c r="L9" s="1">
        <v>3</v>
      </c>
      <c r="M9" s="1">
        <v>3</v>
      </c>
      <c r="N9" s="1">
        <v>15</v>
      </c>
      <c r="O9" s="1">
        <v>3</v>
      </c>
      <c r="P9" s="1">
        <v>17.259193700000001</v>
      </c>
      <c r="Q9" s="1"/>
      <c r="R9" s="1"/>
      <c r="S9" s="1"/>
      <c r="T9" s="1"/>
      <c r="U9" s="1"/>
      <c r="V9" s="1">
        <v>17.245048300000001</v>
      </c>
      <c r="W9" s="1">
        <v>17.259193700000001</v>
      </c>
      <c r="X9" s="1">
        <v>17.742750399999998</v>
      </c>
      <c r="Y9" s="1">
        <v>17.742750399999998</v>
      </c>
      <c r="Z9" s="1">
        <v>17.742750399999998</v>
      </c>
      <c r="AA9" s="1">
        <v>18.309793599999999</v>
      </c>
      <c r="AB9" s="1" t="s">
        <v>54</v>
      </c>
      <c r="AC9" s="1">
        <v>1</v>
      </c>
      <c r="AD9" s="1">
        <v>0.55295380000000005</v>
      </c>
      <c r="AE9" s="1" t="s">
        <v>47</v>
      </c>
      <c r="AF9" s="1"/>
      <c r="AG9" s="1"/>
      <c r="AH9" s="1"/>
      <c r="AI9" s="1"/>
      <c r="AJ9" s="1">
        <v>1</v>
      </c>
      <c r="AK9" s="1">
        <v>1</v>
      </c>
      <c r="AL9" s="1" t="s">
        <v>48</v>
      </c>
      <c r="AM9" s="1" t="s">
        <v>49</v>
      </c>
      <c r="AN9" s="1"/>
      <c r="AO9" s="1" t="s">
        <v>50</v>
      </c>
      <c r="AP9" s="1">
        <v>60.055551370000003</v>
      </c>
      <c r="AQ9" s="1" t="s">
        <v>51</v>
      </c>
      <c r="AR9" s="1"/>
      <c r="AS9" s="1"/>
      <c r="AT9" s="1"/>
    </row>
    <row r="10" spans="1:46" x14ac:dyDescent="0.35">
      <c r="A10" s="1" t="s">
        <v>43</v>
      </c>
      <c r="B10" s="1" t="s">
        <v>44</v>
      </c>
      <c r="C10" s="1" t="s">
        <v>45</v>
      </c>
      <c r="D10" s="1" t="s">
        <v>46</v>
      </c>
      <c r="E10" s="1">
        <v>17</v>
      </c>
      <c r="F10" s="1">
        <v>1</v>
      </c>
      <c r="G10" s="1">
        <v>4</v>
      </c>
      <c r="H10" s="1" t="s">
        <v>46</v>
      </c>
      <c r="I10" s="1">
        <v>1</v>
      </c>
      <c r="J10" s="1">
        <v>0.59064839999999996</v>
      </c>
      <c r="K10" s="1" t="s">
        <v>47</v>
      </c>
      <c r="L10" s="1">
        <v>4</v>
      </c>
      <c r="M10" s="1">
        <v>1</v>
      </c>
      <c r="N10" s="1">
        <v>17</v>
      </c>
      <c r="O10" s="1">
        <v>0</v>
      </c>
      <c r="P10" s="1">
        <v>19.625881400000001</v>
      </c>
      <c r="Q10" s="1"/>
      <c r="R10" s="1"/>
      <c r="S10" s="1"/>
      <c r="T10" s="1"/>
      <c r="U10" s="1"/>
      <c r="V10" s="1">
        <v>19.6114006</v>
      </c>
      <c r="W10" s="1">
        <v>19.625881400000001</v>
      </c>
      <c r="X10" s="1">
        <v>20.109948599999999</v>
      </c>
      <c r="Y10" s="1">
        <v>20.109948599999999</v>
      </c>
      <c r="Z10" s="1">
        <v>20.109948599999999</v>
      </c>
      <c r="AA10" s="1">
        <v>20.709877500000001</v>
      </c>
      <c r="AB10" s="1" t="s">
        <v>46</v>
      </c>
      <c r="AC10" s="1">
        <v>1</v>
      </c>
      <c r="AD10" s="1">
        <v>0.59064839999999996</v>
      </c>
      <c r="AE10" s="1" t="s">
        <v>47</v>
      </c>
      <c r="AF10" s="1"/>
      <c r="AG10" s="1"/>
      <c r="AH10" s="1"/>
      <c r="AI10" s="1"/>
      <c r="AJ10" s="1">
        <v>1</v>
      </c>
      <c r="AK10" s="1">
        <v>1</v>
      </c>
      <c r="AL10" s="1" t="s">
        <v>48</v>
      </c>
      <c r="AM10" s="1" t="s">
        <v>49</v>
      </c>
      <c r="AN10" s="1"/>
      <c r="AO10" s="1" t="s">
        <v>50</v>
      </c>
      <c r="AP10" s="1">
        <v>60.055551370000003</v>
      </c>
      <c r="AQ10" s="1" t="s">
        <v>51</v>
      </c>
      <c r="AR10" s="1"/>
      <c r="AS10" s="1"/>
      <c r="AT10" s="1"/>
    </row>
    <row r="11" spans="1:46" x14ac:dyDescent="0.35">
      <c r="A11" s="1" t="s">
        <v>52</v>
      </c>
      <c r="B11" s="1" t="s">
        <v>53</v>
      </c>
      <c r="C11" s="1" t="s">
        <v>45</v>
      </c>
      <c r="D11" s="1" t="s">
        <v>54</v>
      </c>
      <c r="E11" s="1">
        <v>19</v>
      </c>
      <c r="F11" s="1">
        <v>3</v>
      </c>
      <c r="G11" s="1">
        <v>4</v>
      </c>
      <c r="H11" s="1" t="s">
        <v>54</v>
      </c>
      <c r="I11" s="1">
        <v>1</v>
      </c>
      <c r="J11" s="1">
        <v>0.38425330000000002</v>
      </c>
      <c r="K11" s="1" t="s">
        <v>47</v>
      </c>
      <c r="L11" s="1">
        <v>4</v>
      </c>
      <c r="M11" s="1">
        <v>3</v>
      </c>
      <c r="N11" s="1">
        <v>19</v>
      </c>
      <c r="O11" s="1">
        <v>3</v>
      </c>
      <c r="P11" s="1">
        <v>22.045440899999999</v>
      </c>
      <c r="Q11" s="1"/>
      <c r="R11" s="1"/>
      <c r="S11" s="1"/>
      <c r="T11" s="1"/>
      <c r="U11" s="1"/>
      <c r="V11" s="1">
        <v>21.960460999999999</v>
      </c>
      <c r="W11" s="1">
        <v>22.045440899999999</v>
      </c>
      <c r="X11" s="1">
        <v>22.4595479</v>
      </c>
      <c r="Y11" s="1">
        <v>22.4595479</v>
      </c>
      <c r="Z11" s="1">
        <v>22.4595479</v>
      </c>
      <c r="AA11" s="1">
        <v>22.9320445</v>
      </c>
      <c r="AB11" s="1" t="s">
        <v>54</v>
      </c>
      <c r="AC11" s="1">
        <v>1</v>
      </c>
      <c r="AD11" s="1">
        <v>0.38425330000000002</v>
      </c>
      <c r="AE11" s="1" t="s">
        <v>47</v>
      </c>
      <c r="AF11" s="1"/>
      <c r="AG11" s="1"/>
      <c r="AH11" s="1"/>
      <c r="AI11" s="1"/>
      <c r="AJ11" s="1">
        <v>1</v>
      </c>
      <c r="AK11" s="1">
        <v>1</v>
      </c>
      <c r="AL11" s="1" t="s">
        <v>48</v>
      </c>
      <c r="AM11" s="1" t="s">
        <v>49</v>
      </c>
      <c r="AN11" s="1"/>
      <c r="AO11" s="1" t="s">
        <v>50</v>
      </c>
      <c r="AP11" s="1">
        <v>60.055551370000003</v>
      </c>
      <c r="AQ11" s="1" t="s">
        <v>51</v>
      </c>
      <c r="AR11" s="1"/>
      <c r="AS11" s="1"/>
      <c r="AT11" s="1"/>
    </row>
    <row r="12" spans="1:46" x14ac:dyDescent="0.35">
      <c r="A12" s="1" t="s">
        <v>43</v>
      </c>
      <c r="B12" s="1" t="s">
        <v>44</v>
      </c>
      <c r="C12" s="1" t="s">
        <v>45</v>
      </c>
      <c r="D12" s="1" t="s">
        <v>46</v>
      </c>
      <c r="E12" s="1">
        <v>21</v>
      </c>
      <c r="F12" s="1">
        <v>1</v>
      </c>
      <c r="G12" s="1">
        <v>5</v>
      </c>
      <c r="H12" s="1" t="s">
        <v>46</v>
      </c>
      <c r="I12" s="1">
        <v>1</v>
      </c>
      <c r="J12" s="1">
        <v>0.43807950000000001</v>
      </c>
      <c r="K12" s="1" t="s">
        <v>47</v>
      </c>
      <c r="L12" s="1">
        <v>5</v>
      </c>
      <c r="M12" s="1">
        <v>1</v>
      </c>
      <c r="N12" s="1">
        <v>21</v>
      </c>
      <c r="O12" s="1">
        <v>0</v>
      </c>
      <c r="P12" s="1">
        <v>24.009340300000002</v>
      </c>
      <c r="Q12" s="1"/>
      <c r="R12" s="1"/>
      <c r="S12" s="1"/>
      <c r="T12" s="1"/>
      <c r="U12" s="1"/>
      <c r="V12" s="1">
        <v>23.995054100000001</v>
      </c>
      <c r="W12" s="1">
        <v>24.009340300000002</v>
      </c>
      <c r="X12" s="1">
        <v>24.509223800000001</v>
      </c>
      <c r="Y12" s="1">
        <v>24.509223800000001</v>
      </c>
      <c r="Z12" s="1">
        <v>24.509223800000001</v>
      </c>
      <c r="AA12" s="1">
        <v>24.960149399999999</v>
      </c>
      <c r="AB12" s="1" t="s">
        <v>46</v>
      </c>
      <c r="AC12" s="1">
        <v>1</v>
      </c>
      <c r="AD12" s="1">
        <v>0.43807950000000001</v>
      </c>
      <c r="AE12" s="1" t="s">
        <v>47</v>
      </c>
      <c r="AF12" s="1"/>
      <c r="AG12" s="1"/>
      <c r="AH12" s="1"/>
      <c r="AI12" s="1"/>
      <c r="AJ12" s="1">
        <v>1</v>
      </c>
      <c r="AK12" s="1">
        <v>1</v>
      </c>
      <c r="AL12" s="1" t="s">
        <v>48</v>
      </c>
      <c r="AM12" s="1" t="s">
        <v>49</v>
      </c>
      <c r="AN12" s="1"/>
      <c r="AO12" s="1" t="s">
        <v>50</v>
      </c>
      <c r="AP12" s="1">
        <v>60.055551370000003</v>
      </c>
      <c r="AQ12" s="1" t="s">
        <v>51</v>
      </c>
      <c r="AR12" s="1"/>
      <c r="AS12" s="1"/>
      <c r="AT12" s="1"/>
    </row>
    <row r="13" spans="1:46" x14ac:dyDescent="0.35">
      <c r="A13" s="1" t="s">
        <v>52</v>
      </c>
      <c r="B13" s="1" t="s">
        <v>53</v>
      </c>
      <c r="C13" s="1" t="s">
        <v>45</v>
      </c>
      <c r="D13" s="1" t="s">
        <v>54</v>
      </c>
      <c r="E13" s="1">
        <v>22</v>
      </c>
      <c r="F13" s="1">
        <v>2</v>
      </c>
      <c r="G13" s="1">
        <v>5</v>
      </c>
      <c r="H13" s="1" t="s">
        <v>54</v>
      </c>
      <c r="I13" s="1">
        <v>1</v>
      </c>
      <c r="J13" s="1">
        <v>0.53184050000000005</v>
      </c>
      <c r="K13" s="1" t="s">
        <v>47</v>
      </c>
      <c r="L13" s="1">
        <v>5</v>
      </c>
      <c r="M13" s="1">
        <v>2</v>
      </c>
      <c r="N13" s="1">
        <v>22</v>
      </c>
      <c r="O13" s="1">
        <v>3</v>
      </c>
      <c r="P13" s="1">
        <v>24.976058699999999</v>
      </c>
      <c r="Q13" s="1"/>
      <c r="R13" s="1"/>
      <c r="S13" s="1"/>
      <c r="T13" s="1"/>
      <c r="U13" s="1"/>
      <c r="V13" s="1">
        <v>24.964172999999999</v>
      </c>
      <c r="W13" s="1">
        <v>24.976058699999999</v>
      </c>
      <c r="X13" s="1">
        <v>25.459404200000002</v>
      </c>
      <c r="Y13" s="1">
        <v>25.459404200000002</v>
      </c>
      <c r="Z13" s="1">
        <v>25.459404200000002</v>
      </c>
      <c r="AA13" s="1">
        <v>25.9932205</v>
      </c>
      <c r="AB13" s="1" t="s">
        <v>54</v>
      </c>
      <c r="AC13" s="1">
        <v>1</v>
      </c>
      <c r="AD13" s="1">
        <v>0.53184050000000005</v>
      </c>
      <c r="AE13" s="1" t="s">
        <v>47</v>
      </c>
      <c r="AF13" s="1"/>
      <c r="AG13" s="1"/>
      <c r="AH13" s="1"/>
      <c r="AI13" s="1"/>
      <c r="AJ13" s="1">
        <v>1</v>
      </c>
      <c r="AK13" s="1">
        <v>1</v>
      </c>
      <c r="AL13" s="1" t="s">
        <v>48</v>
      </c>
      <c r="AM13" s="1" t="s">
        <v>49</v>
      </c>
      <c r="AN13" s="1"/>
      <c r="AO13" s="1" t="s">
        <v>50</v>
      </c>
      <c r="AP13" s="1">
        <v>60.055551370000003</v>
      </c>
      <c r="AQ13" s="1" t="s">
        <v>51</v>
      </c>
      <c r="AR13" s="1"/>
      <c r="AS13" s="1"/>
      <c r="AT13" s="1"/>
    </row>
    <row r="14" spans="1:46" x14ac:dyDescent="0.35">
      <c r="A14" s="1" t="s">
        <v>52</v>
      </c>
      <c r="B14" s="1" t="s">
        <v>53</v>
      </c>
      <c r="C14" s="1" t="s">
        <v>45</v>
      </c>
      <c r="D14" s="1" t="s">
        <v>54</v>
      </c>
      <c r="E14" s="1">
        <v>24</v>
      </c>
      <c r="F14" s="1">
        <v>0</v>
      </c>
      <c r="G14" s="1">
        <v>6</v>
      </c>
      <c r="H14" s="1" t="s">
        <v>54</v>
      </c>
      <c r="I14" s="1">
        <v>1</v>
      </c>
      <c r="J14" s="1">
        <v>0.62057910000000005</v>
      </c>
      <c r="K14" s="1" t="s">
        <v>47</v>
      </c>
      <c r="L14" s="1">
        <v>6</v>
      </c>
      <c r="M14" s="1">
        <v>0</v>
      </c>
      <c r="N14" s="1">
        <v>24</v>
      </c>
      <c r="O14" s="1">
        <v>3</v>
      </c>
      <c r="P14" s="1">
        <v>27.026131100000001</v>
      </c>
      <c r="Q14" s="1"/>
      <c r="R14" s="1"/>
      <c r="S14" s="1"/>
      <c r="T14" s="1"/>
      <c r="U14" s="1"/>
      <c r="V14" s="1">
        <v>27.010745</v>
      </c>
      <c r="W14" s="1">
        <v>27.026131100000001</v>
      </c>
      <c r="X14" s="1">
        <v>27.509368299999998</v>
      </c>
      <c r="Y14" s="1">
        <v>27.509368299999998</v>
      </c>
      <c r="Z14" s="1">
        <v>27.509368299999998</v>
      </c>
      <c r="AA14" s="1">
        <v>28.143584799999999</v>
      </c>
      <c r="AB14" s="1" t="s">
        <v>54</v>
      </c>
      <c r="AC14" s="1">
        <v>1</v>
      </c>
      <c r="AD14" s="1">
        <v>0.62057910000000005</v>
      </c>
      <c r="AE14" s="1" t="s">
        <v>47</v>
      </c>
      <c r="AF14" s="1"/>
      <c r="AG14" s="1"/>
      <c r="AH14" s="1"/>
      <c r="AI14" s="1"/>
      <c r="AJ14" s="1">
        <v>1</v>
      </c>
      <c r="AK14" s="1">
        <v>1</v>
      </c>
      <c r="AL14" s="1" t="s">
        <v>48</v>
      </c>
      <c r="AM14" s="1" t="s">
        <v>49</v>
      </c>
      <c r="AN14" s="1"/>
      <c r="AO14" s="1" t="s">
        <v>50</v>
      </c>
      <c r="AP14" s="1">
        <v>60.055551370000003</v>
      </c>
      <c r="AQ14" s="1" t="s">
        <v>51</v>
      </c>
      <c r="AR14" s="1"/>
      <c r="AS14" s="1"/>
      <c r="AT14" s="1"/>
    </row>
    <row r="15" spans="1:46" x14ac:dyDescent="0.35">
      <c r="A15" s="1" t="s">
        <v>43</v>
      </c>
      <c r="B15" s="1" t="s">
        <v>44</v>
      </c>
      <c r="C15" s="1" t="s">
        <v>45</v>
      </c>
      <c r="D15" s="1" t="s">
        <v>46</v>
      </c>
      <c r="E15" s="1">
        <v>25</v>
      </c>
      <c r="F15" s="1">
        <v>1</v>
      </c>
      <c r="G15" s="1">
        <v>6</v>
      </c>
      <c r="H15" s="1" t="s">
        <v>46</v>
      </c>
      <c r="I15" s="1">
        <v>1</v>
      </c>
      <c r="J15" s="1">
        <v>0.49370779999999997</v>
      </c>
      <c r="K15" s="1" t="s">
        <v>47</v>
      </c>
      <c r="L15" s="1">
        <v>6</v>
      </c>
      <c r="M15" s="1">
        <v>1</v>
      </c>
      <c r="N15" s="1">
        <v>25</v>
      </c>
      <c r="O15" s="1">
        <v>0</v>
      </c>
      <c r="P15" s="1">
        <v>28.159058699999999</v>
      </c>
      <c r="Q15" s="1"/>
      <c r="R15" s="1"/>
      <c r="S15" s="1"/>
      <c r="T15" s="1"/>
      <c r="U15" s="1"/>
      <c r="V15" s="1">
        <v>28.147073200000001</v>
      </c>
      <c r="W15" s="1">
        <v>28.159058699999999</v>
      </c>
      <c r="X15" s="1">
        <v>28.659434099999999</v>
      </c>
      <c r="Y15" s="1">
        <v>28.659434099999999</v>
      </c>
      <c r="Z15" s="1">
        <v>28.659434099999999</v>
      </c>
      <c r="AA15" s="1">
        <v>29.160074300000002</v>
      </c>
      <c r="AB15" s="1" t="s">
        <v>46</v>
      </c>
      <c r="AC15" s="1">
        <v>1</v>
      </c>
      <c r="AD15" s="1">
        <v>0.49370779999999997</v>
      </c>
      <c r="AE15" s="1" t="s">
        <v>47</v>
      </c>
      <c r="AF15" s="1"/>
      <c r="AG15" s="1"/>
      <c r="AH15" s="1"/>
      <c r="AI15" s="1"/>
      <c r="AJ15" s="1">
        <v>1</v>
      </c>
      <c r="AK15" s="1">
        <v>1</v>
      </c>
      <c r="AL15" s="1" t="s">
        <v>48</v>
      </c>
      <c r="AM15" s="1" t="s">
        <v>49</v>
      </c>
      <c r="AN15" s="1"/>
      <c r="AO15" s="1" t="s">
        <v>50</v>
      </c>
      <c r="AP15" s="1">
        <v>60.055551370000003</v>
      </c>
      <c r="AQ15" s="1" t="s">
        <v>51</v>
      </c>
      <c r="AR15" s="1"/>
      <c r="AS15" s="1"/>
      <c r="AT15" s="1"/>
    </row>
    <row r="16" spans="1:46" x14ac:dyDescent="0.35">
      <c r="A16" s="1" t="s">
        <v>43</v>
      </c>
      <c r="B16" s="1" t="s">
        <v>44</v>
      </c>
      <c r="C16" s="1" t="s">
        <v>45</v>
      </c>
      <c r="D16" s="1" t="s">
        <v>46</v>
      </c>
      <c r="E16" s="1">
        <v>29</v>
      </c>
      <c r="F16" s="1">
        <v>1</v>
      </c>
      <c r="G16" s="1">
        <v>7</v>
      </c>
      <c r="H16" s="1" t="s">
        <v>46</v>
      </c>
      <c r="I16" s="1">
        <v>1</v>
      </c>
      <c r="J16" s="1">
        <v>0.58147059999999995</v>
      </c>
      <c r="K16" s="1" t="s">
        <v>47</v>
      </c>
      <c r="L16" s="1">
        <v>7</v>
      </c>
      <c r="M16" s="1">
        <v>1</v>
      </c>
      <c r="N16" s="1">
        <v>29</v>
      </c>
      <c r="O16" s="1">
        <v>0</v>
      </c>
      <c r="P16" s="1">
        <v>33.0752886</v>
      </c>
      <c r="Q16" s="1"/>
      <c r="R16" s="1"/>
      <c r="S16" s="1"/>
      <c r="T16" s="1"/>
      <c r="U16" s="1"/>
      <c r="V16" s="1">
        <v>33.063955499999999</v>
      </c>
      <c r="W16" s="1">
        <v>33.0752886</v>
      </c>
      <c r="X16" s="1">
        <v>33.559594400000002</v>
      </c>
      <c r="Y16" s="1">
        <v>33.559594400000002</v>
      </c>
      <c r="Z16" s="1">
        <v>33.559594400000002</v>
      </c>
      <c r="AA16" s="1">
        <v>34.143134000000003</v>
      </c>
      <c r="AB16" s="1" t="s">
        <v>46</v>
      </c>
      <c r="AC16" s="1">
        <v>1</v>
      </c>
      <c r="AD16" s="1">
        <v>0.58147059999999995</v>
      </c>
      <c r="AE16" s="1" t="s">
        <v>47</v>
      </c>
      <c r="AF16" s="1"/>
      <c r="AG16" s="1"/>
      <c r="AH16" s="1"/>
      <c r="AI16" s="1"/>
      <c r="AJ16" s="1">
        <v>1</v>
      </c>
      <c r="AK16" s="1">
        <v>1</v>
      </c>
      <c r="AL16" s="1" t="s">
        <v>48</v>
      </c>
      <c r="AM16" s="1" t="s">
        <v>49</v>
      </c>
      <c r="AN16" s="1"/>
      <c r="AO16" s="1" t="s">
        <v>50</v>
      </c>
      <c r="AP16" s="1">
        <v>60.055551370000003</v>
      </c>
      <c r="AQ16" s="1" t="s">
        <v>51</v>
      </c>
      <c r="AR16" s="1"/>
      <c r="AS16" s="1"/>
      <c r="AT16" s="1"/>
    </row>
    <row r="17" spans="1:46" x14ac:dyDescent="0.35">
      <c r="A17" s="1" t="s">
        <v>52</v>
      </c>
      <c r="B17" s="1" t="s">
        <v>53</v>
      </c>
      <c r="C17" s="1" t="s">
        <v>45</v>
      </c>
      <c r="D17" s="1" t="s">
        <v>54</v>
      </c>
      <c r="E17" s="1">
        <v>31</v>
      </c>
      <c r="F17" s="1">
        <v>3</v>
      </c>
      <c r="G17" s="1">
        <v>7</v>
      </c>
      <c r="H17" s="1" t="s">
        <v>54</v>
      </c>
      <c r="I17" s="1">
        <v>1</v>
      </c>
      <c r="J17" s="1">
        <v>0.84233159999999996</v>
      </c>
      <c r="K17" s="1" t="s">
        <v>47</v>
      </c>
      <c r="L17" s="1">
        <v>7</v>
      </c>
      <c r="M17" s="1">
        <v>3</v>
      </c>
      <c r="N17" s="1">
        <v>31</v>
      </c>
      <c r="O17" s="1">
        <v>3</v>
      </c>
      <c r="P17" s="1">
        <v>35.392423800000003</v>
      </c>
      <c r="Q17" s="1"/>
      <c r="R17" s="1"/>
      <c r="S17" s="1"/>
      <c r="T17" s="1"/>
      <c r="U17" s="1"/>
      <c r="V17" s="1">
        <v>35.382699199999998</v>
      </c>
      <c r="W17" s="1">
        <v>35.392423800000003</v>
      </c>
      <c r="X17" s="1">
        <v>35.892414799999997</v>
      </c>
      <c r="Y17" s="1">
        <v>35.892414799999997</v>
      </c>
      <c r="Z17" s="1">
        <v>35.892414799999997</v>
      </c>
      <c r="AA17" s="1">
        <v>36.743051299999998</v>
      </c>
      <c r="AB17" s="1" t="s">
        <v>54</v>
      </c>
      <c r="AC17" s="1">
        <v>1</v>
      </c>
      <c r="AD17" s="1">
        <v>0.84233159999999996</v>
      </c>
      <c r="AE17" s="1" t="s">
        <v>47</v>
      </c>
      <c r="AF17" s="1"/>
      <c r="AG17" s="1"/>
      <c r="AH17" s="1"/>
      <c r="AI17" s="1"/>
      <c r="AJ17" s="1">
        <v>1</v>
      </c>
      <c r="AK17" s="1">
        <v>1</v>
      </c>
      <c r="AL17" s="1" t="s">
        <v>48</v>
      </c>
      <c r="AM17" s="1" t="s">
        <v>49</v>
      </c>
      <c r="AN17" s="1"/>
      <c r="AO17" s="1" t="s">
        <v>50</v>
      </c>
      <c r="AP17" s="1">
        <v>60.055551370000003</v>
      </c>
      <c r="AQ17" s="1" t="s">
        <v>51</v>
      </c>
      <c r="AR17" s="1"/>
      <c r="AS17" s="1"/>
      <c r="AT17" s="1"/>
    </row>
    <row r="18" spans="1:46" x14ac:dyDescent="0.35">
      <c r="A18" s="1" t="s">
        <v>52</v>
      </c>
      <c r="B18" s="1" t="s">
        <v>53</v>
      </c>
      <c r="C18" s="1" t="s">
        <v>45</v>
      </c>
      <c r="D18" s="1" t="s">
        <v>54</v>
      </c>
      <c r="E18" s="1">
        <v>32</v>
      </c>
      <c r="F18" s="1">
        <v>0</v>
      </c>
      <c r="G18" s="1">
        <v>8</v>
      </c>
      <c r="H18" s="1" t="s">
        <v>54</v>
      </c>
      <c r="I18" s="1">
        <v>1</v>
      </c>
      <c r="J18" s="1">
        <v>0.32799299999999998</v>
      </c>
      <c r="K18" s="1" t="s">
        <v>47</v>
      </c>
      <c r="L18" s="1">
        <v>8</v>
      </c>
      <c r="M18" s="1">
        <v>0</v>
      </c>
      <c r="N18" s="1">
        <v>32</v>
      </c>
      <c r="O18" s="1">
        <v>3</v>
      </c>
      <c r="P18" s="1">
        <v>36.7591818</v>
      </c>
      <c r="Q18" s="1"/>
      <c r="R18" s="1"/>
      <c r="S18" s="1"/>
      <c r="T18" s="1"/>
      <c r="U18" s="1"/>
      <c r="V18" s="1">
        <v>36.7440499</v>
      </c>
      <c r="W18" s="1">
        <v>36.7591818</v>
      </c>
      <c r="X18" s="1">
        <v>37.258515299999999</v>
      </c>
      <c r="Y18" s="1">
        <v>37.258515299999999</v>
      </c>
      <c r="Z18" s="1">
        <v>37.258515299999999</v>
      </c>
      <c r="AA18" s="1">
        <v>37.5933967</v>
      </c>
      <c r="AB18" s="1" t="s">
        <v>54</v>
      </c>
      <c r="AC18" s="1">
        <v>1</v>
      </c>
      <c r="AD18" s="1">
        <v>0.32799299999999998</v>
      </c>
      <c r="AE18" s="1" t="s">
        <v>47</v>
      </c>
      <c r="AF18" s="1"/>
      <c r="AG18" s="1"/>
      <c r="AH18" s="1"/>
      <c r="AI18" s="1"/>
      <c r="AJ18" s="1">
        <v>1</v>
      </c>
      <c r="AK18" s="1">
        <v>1</v>
      </c>
      <c r="AL18" s="1" t="s">
        <v>48</v>
      </c>
      <c r="AM18" s="1" t="s">
        <v>49</v>
      </c>
      <c r="AN18" s="1"/>
      <c r="AO18" s="1" t="s">
        <v>50</v>
      </c>
      <c r="AP18" s="1">
        <v>60.055551370000003</v>
      </c>
      <c r="AQ18" s="1" t="s">
        <v>51</v>
      </c>
      <c r="AR18" s="1"/>
      <c r="AS18" s="1"/>
      <c r="AT18" s="1"/>
    </row>
    <row r="19" spans="1:46" x14ac:dyDescent="0.35">
      <c r="A19" s="1" t="s">
        <v>43</v>
      </c>
      <c r="B19" s="1" t="s">
        <v>44</v>
      </c>
      <c r="C19" s="1" t="s">
        <v>45</v>
      </c>
      <c r="D19" s="1" t="s">
        <v>46</v>
      </c>
      <c r="E19" s="1">
        <v>33</v>
      </c>
      <c r="F19" s="1">
        <v>1</v>
      </c>
      <c r="G19" s="1">
        <v>8</v>
      </c>
      <c r="H19" s="1" t="s">
        <v>46</v>
      </c>
      <c r="I19" s="1">
        <v>1</v>
      </c>
      <c r="J19" s="1">
        <v>0.4783732</v>
      </c>
      <c r="K19" s="1" t="s">
        <v>47</v>
      </c>
      <c r="L19" s="1">
        <v>8</v>
      </c>
      <c r="M19" s="1">
        <v>1</v>
      </c>
      <c r="N19" s="1">
        <v>33</v>
      </c>
      <c r="O19" s="1">
        <v>0</v>
      </c>
      <c r="P19" s="1">
        <v>37.608479699999997</v>
      </c>
      <c r="Q19" s="1"/>
      <c r="R19" s="1"/>
      <c r="S19" s="1"/>
      <c r="T19" s="1"/>
      <c r="U19" s="1"/>
      <c r="V19" s="1">
        <v>37.597673200000003</v>
      </c>
      <c r="W19" s="1">
        <v>37.608479699999997</v>
      </c>
      <c r="X19" s="1">
        <v>38.109154400000001</v>
      </c>
      <c r="Y19" s="1">
        <v>38.109154400000001</v>
      </c>
      <c r="Z19" s="1">
        <v>38.109154400000001</v>
      </c>
      <c r="AA19" s="1">
        <v>38.592933299999999</v>
      </c>
      <c r="AB19" s="1" t="s">
        <v>46</v>
      </c>
      <c r="AC19" s="1">
        <v>1</v>
      </c>
      <c r="AD19" s="1">
        <v>0.4783732</v>
      </c>
      <c r="AE19" s="1" t="s">
        <v>47</v>
      </c>
      <c r="AF19" s="1"/>
      <c r="AG19" s="1"/>
      <c r="AH19" s="1"/>
      <c r="AI19" s="1"/>
      <c r="AJ19" s="1">
        <v>1</v>
      </c>
      <c r="AK19" s="1">
        <v>1</v>
      </c>
      <c r="AL19" s="1" t="s">
        <v>48</v>
      </c>
      <c r="AM19" s="1" t="s">
        <v>49</v>
      </c>
      <c r="AN19" s="1"/>
      <c r="AO19" s="1" t="s">
        <v>50</v>
      </c>
      <c r="AP19" s="1">
        <v>60.055551370000003</v>
      </c>
      <c r="AQ19" s="1" t="s">
        <v>51</v>
      </c>
      <c r="AR19" s="1"/>
      <c r="AS19" s="1"/>
      <c r="AT19" s="1"/>
    </row>
    <row r="20" spans="1:46" x14ac:dyDescent="0.35">
      <c r="A20" s="1" t="s">
        <v>52</v>
      </c>
      <c r="B20" s="1" t="s">
        <v>53</v>
      </c>
      <c r="C20" s="1" t="s">
        <v>45</v>
      </c>
      <c r="D20" s="1" t="s">
        <v>54</v>
      </c>
      <c r="E20" s="1">
        <v>37</v>
      </c>
      <c r="F20" s="1">
        <v>1</v>
      </c>
      <c r="G20" s="1">
        <v>9</v>
      </c>
      <c r="H20" s="1" t="s">
        <v>54</v>
      </c>
      <c r="I20" s="1">
        <v>1</v>
      </c>
      <c r="J20" s="1">
        <v>0.81040109999999999</v>
      </c>
      <c r="K20" s="1" t="s">
        <v>47</v>
      </c>
      <c r="L20" s="1">
        <v>9</v>
      </c>
      <c r="M20" s="1">
        <v>1</v>
      </c>
      <c r="N20" s="1">
        <v>37</v>
      </c>
      <c r="O20" s="1">
        <v>3</v>
      </c>
      <c r="P20" s="1">
        <v>41.942657500000003</v>
      </c>
      <c r="Q20" s="1"/>
      <c r="R20" s="1"/>
      <c r="S20" s="1"/>
      <c r="T20" s="1"/>
      <c r="U20" s="1"/>
      <c r="V20" s="1">
        <v>41.9282903</v>
      </c>
      <c r="W20" s="1">
        <v>41.942657500000003</v>
      </c>
      <c r="X20" s="1">
        <v>42.442281899999998</v>
      </c>
      <c r="Y20" s="1">
        <v>42.442281899999998</v>
      </c>
      <c r="Z20" s="1">
        <v>42.442281899999998</v>
      </c>
      <c r="AA20" s="1">
        <v>43.259120699999997</v>
      </c>
      <c r="AB20" s="1" t="s">
        <v>54</v>
      </c>
      <c r="AC20" s="1">
        <v>1</v>
      </c>
      <c r="AD20" s="1">
        <v>0.81040109999999999</v>
      </c>
      <c r="AE20" s="1" t="s">
        <v>47</v>
      </c>
      <c r="AF20" s="1"/>
      <c r="AG20" s="1"/>
      <c r="AH20" s="1"/>
      <c r="AI20" s="1"/>
      <c r="AJ20" s="1">
        <v>1</v>
      </c>
      <c r="AK20" s="1">
        <v>1</v>
      </c>
      <c r="AL20" s="1" t="s">
        <v>48</v>
      </c>
      <c r="AM20" s="1" t="s">
        <v>49</v>
      </c>
      <c r="AN20" s="1"/>
      <c r="AO20" s="1" t="s">
        <v>50</v>
      </c>
      <c r="AP20" s="1">
        <v>60.055551370000003</v>
      </c>
      <c r="AQ20" s="1" t="s">
        <v>51</v>
      </c>
      <c r="AR20" s="1"/>
      <c r="AS20" s="1"/>
      <c r="AT20" s="1"/>
    </row>
    <row r="21" spans="1:46" x14ac:dyDescent="0.35">
      <c r="A21" s="1" t="s">
        <v>43</v>
      </c>
      <c r="B21" s="1" t="s">
        <v>44</v>
      </c>
      <c r="C21" s="1" t="s">
        <v>45</v>
      </c>
      <c r="D21" s="1" t="s">
        <v>46</v>
      </c>
      <c r="E21" s="1">
        <v>38</v>
      </c>
      <c r="F21" s="1">
        <v>2</v>
      </c>
      <c r="G21" s="1">
        <v>9</v>
      </c>
      <c r="H21" s="1" t="s">
        <v>46</v>
      </c>
      <c r="I21" s="1">
        <v>1</v>
      </c>
      <c r="J21" s="1">
        <v>0.4574242</v>
      </c>
      <c r="K21" s="1" t="s">
        <v>47</v>
      </c>
      <c r="L21" s="1">
        <v>9</v>
      </c>
      <c r="M21" s="1">
        <v>2</v>
      </c>
      <c r="N21" s="1">
        <v>38</v>
      </c>
      <c r="O21" s="1">
        <v>0</v>
      </c>
      <c r="P21" s="1">
        <v>43.275399800000002</v>
      </c>
      <c r="Q21" s="1"/>
      <c r="R21" s="1"/>
      <c r="S21" s="1"/>
      <c r="T21" s="1"/>
      <c r="U21" s="1"/>
      <c r="V21" s="1">
        <v>43.2627582</v>
      </c>
      <c r="W21" s="1">
        <v>43.275399800000002</v>
      </c>
      <c r="X21" s="1">
        <v>43.758157799999999</v>
      </c>
      <c r="Y21" s="1">
        <v>43.758157799999999</v>
      </c>
      <c r="Z21" s="1">
        <v>43.758157799999999</v>
      </c>
      <c r="AA21" s="1">
        <v>44.225900199999998</v>
      </c>
      <c r="AB21" s="1" t="s">
        <v>46</v>
      </c>
      <c r="AC21" s="1">
        <v>1</v>
      </c>
      <c r="AD21" s="1">
        <v>0.4574242</v>
      </c>
      <c r="AE21" s="1" t="s">
        <v>47</v>
      </c>
      <c r="AF21" s="1"/>
      <c r="AG21" s="1"/>
      <c r="AH21" s="1"/>
      <c r="AI21" s="1"/>
      <c r="AJ21" s="1">
        <v>1</v>
      </c>
      <c r="AK21" s="1">
        <v>1</v>
      </c>
      <c r="AL21" s="1" t="s">
        <v>48</v>
      </c>
      <c r="AM21" s="1" t="s">
        <v>49</v>
      </c>
      <c r="AN21" s="1"/>
      <c r="AO21" s="1" t="s">
        <v>50</v>
      </c>
      <c r="AP21" s="1">
        <v>60.055551370000003</v>
      </c>
      <c r="AQ21" s="1" t="s">
        <v>51</v>
      </c>
      <c r="AR21" s="1"/>
      <c r="AS21" s="1"/>
      <c r="AT21" s="1"/>
    </row>
    <row r="22" spans="1:46" x14ac:dyDescent="0.35">
      <c r="A22" s="1" t="s">
        <v>43</v>
      </c>
      <c r="B22" s="1" t="s">
        <v>53</v>
      </c>
      <c r="C22" s="1" t="s">
        <v>55</v>
      </c>
      <c r="D22" s="1" t="s">
        <v>54</v>
      </c>
      <c r="E22" s="1">
        <v>2</v>
      </c>
      <c r="F22" s="1">
        <v>2</v>
      </c>
      <c r="G22" s="1">
        <v>0</v>
      </c>
      <c r="H22" s="1" t="s">
        <v>54</v>
      </c>
      <c r="I22" s="1">
        <v>1</v>
      </c>
      <c r="J22" s="1">
        <v>0.80340610000000001</v>
      </c>
      <c r="K22" s="1" t="s">
        <v>47</v>
      </c>
      <c r="L22" s="1">
        <v>0</v>
      </c>
      <c r="M22" s="1">
        <v>2</v>
      </c>
      <c r="N22" s="1">
        <v>2</v>
      </c>
      <c r="O22" s="1">
        <v>1</v>
      </c>
      <c r="P22" s="1">
        <v>3.9764776999999998</v>
      </c>
      <c r="Q22" s="1"/>
      <c r="R22" s="1"/>
      <c r="S22" s="1"/>
      <c r="T22" s="1"/>
      <c r="U22" s="1"/>
      <c r="V22" s="1">
        <v>3.9625032</v>
      </c>
      <c r="W22" s="1">
        <v>3.9764776999999998</v>
      </c>
      <c r="X22" s="1">
        <v>4.4600461999999998</v>
      </c>
      <c r="Y22" s="1">
        <v>4.4600461999999998</v>
      </c>
      <c r="Z22" s="1">
        <v>4.4600461999999998</v>
      </c>
      <c r="AA22" s="1">
        <v>5.2766869999999999</v>
      </c>
      <c r="AB22" s="1" t="s">
        <v>54</v>
      </c>
      <c r="AC22" s="1">
        <v>1</v>
      </c>
      <c r="AD22" s="1">
        <v>0.80340610000000001</v>
      </c>
      <c r="AE22" s="1" t="s">
        <v>47</v>
      </c>
      <c r="AF22" s="1"/>
      <c r="AG22" s="1"/>
      <c r="AH22" s="1"/>
      <c r="AI22" s="1"/>
      <c r="AJ22" s="1">
        <v>1</v>
      </c>
      <c r="AK22" s="1">
        <v>1</v>
      </c>
      <c r="AL22" s="1" t="s">
        <v>48</v>
      </c>
      <c r="AM22" s="1" t="s">
        <v>49</v>
      </c>
      <c r="AN22" s="1"/>
      <c r="AO22" s="1" t="s">
        <v>50</v>
      </c>
      <c r="AP22" s="1">
        <v>60.055551370000003</v>
      </c>
      <c r="AQ22" s="1" t="s">
        <v>51</v>
      </c>
      <c r="AR22" s="1"/>
      <c r="AS22" s="1"/>
      <c r="AT22" s="1"/>
    </row>
    <row r="23" spans="1:46" x14ac:dyDescent="0.35">
      <c r="A23" s="1" t="s">
        <v>52</v>
      </c>
      <c r="B23" s="1" t="s">
        <v>44</v>
      </c>
      <c r="C23" s="1" t="s">
        <v>55</v>
      </c>
      <c r="D23" s="1" t="s">
        <v>46</v>
      </c>
      <c r="E23" s="1">
        <v>3</v>
      </c>
      <c r="F23" s="1">
        <v>3</v>
      </c>
      <c r="G23" s="1">
        <v>0</v>
      </c>
      <c r="H23" s="1" t="s">
        <v>46</v>
      </c>
      <c r="I23" s="1">
        <v>1</v>
      </c>
      <c r="J23" s="1">
        <v>0.64338850000000003</v>
      </c>
      <c r="K23" s="1" t="s">
        <v>47</v>
      </c>
      <c r="L23" s="1">
        <v>0</v>
      </c>
      <c r="M23" s="1">
        <v>3</v>
      </c>
      <c r="N23" s="1">
        <v>3</v>
      </c>
      <c r="O23" s="1">
        <v>2</v>
      </c>
      <c r="P23" s="1">
        <v>5.2932905999999997</v>
      </c>
      <c r="Q23" s="1"/>
      <c r="R23" s="1"/>
      <c r="S23" s="1"/>
      <c r="T23" s="1"/>
      <c r="U23" s="1"/>
      <c r="V23" s="1">
        <v>5.2786545</v>
      </c>
      <c r="W23" s="1">
        <v>5.2932905999999997</v>
      </c>
      <c r="X23" s="1">
        <v>5.7765940999999996</v>
      </c>
      <c r="Y23" s="1">
        <v>5.7765940999999996</v>
      </c>
      <c r="Z23" s="1">
        <v>5.7765940999999996</v>
      </c>
      <c r="AA23" s="1">
        <v>6.4274883999999997</v>
      </c>
      <c r="AB23" s="1" t="s">
        <v>46</v>
      </c>
      <c r="AC23" s="1">
        <v>1</v>
      </c>
      <c r="AD23" s="1">
        <v>0.64338850000000003</v>
      </c>
      <c r="AE23" s="1" t="s">
        <v>47</v>
      </c>
      <c r="AF23" s="1"/>
      <c r="AG23" s="1"/>
      <c r="AH23" s="1"/>
      <c r="AI23" s="1"/>
      <c r="AJ23" s="1">
        <v>1</v>
      </c>
      <c r="AK23" s="1">
        <v>1</v>
      </c>
      <c r="AL23" s="1" t="s">
        <v>48</v>
      </c>
      <c r="AM23" s="1" t="s">
        <v>49</v>
      </c>
      <c r="AN23" s="1"/>
      <c r="AO23" s="1" t="s">
        <v>50</v>
      </c>
      <c r="AP23" s="1">
        <v>60.055551370000003</v>
      </c>
      <c r="AQ23" s="1" t="s">
        <v>51</v>
      </c>
      <c r="AR23" s="1"/>
      <c r="AS23" s="1"/>
      <c r="AT23" s="1"/>
    </row>
    <row r="24" spans="1:46" x14ac:dyDescent="0.35">
      <c r="A24" s="1" t="s">
        <v>52</v>
      </c>
      <c r="B24" s="1" t="s">
        <v>44</v>
      </c>
      <c r="C24" s="1" t="s">
        <v>55</v>
      </c>
      <c r="D24" s="1" t="s">
        <v>46</v>
      </c>
      <c r="E24" s="1">
        <v>4</v>
      </c>
      <c r="F24" s="1">
        <v>0</v>
      </c>
      <c r="G24" s="1">
        <v>1</v>
      </c>
      <c r="H24" s="1" t="s">
        <v>46</v>
      </c>
      <c r="I24" s="1">
        <v>1</v>
      </c>
      <c r="J24" s="1">
        <v>0.39483210000000002</v>
      </c>
      <c r="K24" s="1" t="s">
        <v>47</v>
      </c>
      <c r="L24" s="1">
        <v>1</v>
      </c>
      <c r="M24" s="1">
        <v>0</v>
      </c>
      <c r="N24" s="1">
        <v>4</v>
      </c>
      <c r="O24" s="1">
        <v>2</v>
      </c>
      <c r="P24" s="1">
        <v>6.4432441999999996</v>
      </c>
      <c r="Q24" s="1"/>
      <c r="R24" s="1"/>
      <c r="S24" s="1"/>
      <c r="T24" s="1"/>
      <c r="U24" s="1"/>
      <c r="V24" s="1">
        <v>6.4283901999999999</v>
      </c>
      <c r="W24" s="1">
        <v>6.4432441999999996</v>
      </c>
      <c r="X24" s="1">
        <v>6.9430069000000003</v>
      </c>
      <c r="Y24" s="1">
        <v>6.9430069000000003</v>
      </c>
      <c r="Z24" s="1">
        <v>6.9430069000000003</v>
      </c>
      <c r="AA24" s="1">
        <v>7.3434137000000002</v>
      </c>
      <c r="AB24" s="1" t="s">
        <v>46</v>
      </c>
      <c r="AC24" s="1">
        <v>1</v>
      </c>
      <c r="AD24" s="1">
        <v>0.39483210000000002</v>
      </c>
      <c r="AE24" s="1" t="s">
        <v>47</v>
      </c>
      <c r="AF24" s="1"/>
      <c r="AG24" s="1"/>
      <c r="AH24" s="1"/>
      <c r="AI24" s="1"/>
      <c r="AJ24" s="1">
        <v>1</v>
      </c>
      <c r="AK24" s="1">
        <v>1</v>
      </c>
      <c r="AL24" s="1" t="s">
        <v>48</v>
      </c>
      <c r="AM24" s="1" t="s">
        <v>49</v>
      </c>
      <c r="AN24" s="1"/>
      <c r="AO24" s="1" t="s">
        <v>50</v>
      </c>
      <c r="AP24" s="1">
        <v>60.055551370000003</v>
      </c>
      <c r="AQ24" s="1" t="s">
        <v>51</v>
      </c>
      <c r="AR24" s="1"/>
      <c r="AS24" s="1"/>
      <c r="AT24" s="1"/>
    </row>
    <row r="25" spans="1:46" x14ac:dyDescent="0.35">
      <c r="A25" s="1" t="s">
        <v>43</v>
      </c>
      <c r="B25" s="1" t="s">
        <v>53</v>
      </c>
      <c r="C25" s="1" t="s">
        <v>55</v>
      </c>
      <c r="D25" s="1" t="s">
        <v>54</v>
      </c>
      <c r="E25" s="1">
        <v>6</v>
      </c>
      <c r="F25" s="1">
        <v>2</v>
      </c>
      <c r="G25" s="1">
        <v>1</v>
      </c>
      <c r="H25" s="1" t="s">
        <v>54</v>
      </c>
      <c r="I25" s="1">
        <v>1</v>
      </c>
      <c r="J25" s="1">
        <v>0.51697309999999996</v>
      </c>
      <c r="K25" s="1" t="s">
        <v>47</v>
      </c>
      <c r="L25" s="1">
        <v>1</v>
      </c>
      <c r="M25" s="1">
        <v>2</v>
      </c>
      <c r="N25" s="1">
        <v>6</v>
      </c>
      <c r="O25" s="1">
        <v>1</v>
      </c>
      <c r="P25" s="1">
        <v>8.2763027999999998</v>
      </c>
      <c r="Q25" s="1"/>
      <c r="R25" s="1"/>
      <c r="S25" s="1"/>
      <c r="T25" s="1"/>
      <c r="U25" s="1"/>
      <c r="V25" s="1">
        <v>8.2607006999999992</v>
      </c>
      <c r="W25" s="1">
        <v>8.2763027999999998</v>
      </c>
      <c r="X25" s="1">
        <v>8.7597579000000003</v>
      </c>
      <c r="Y25" s="1">
        <v>8.7597579000000003</v>
      </c>
      <c r="Z25" s="1">
        <v>8.7597579000000003</v>
      </c>
      <c r="AA25" s="1">
        <v>9.2934943000000008</v>
      </c>
      <c r="AB25" s="1" t="s">
        <v>54</v>
      </c>
      <c r="AC25" s="1">
        <v>1</v>
      </c>
      <c r="AD25" s="1">
        <v>0.51697309999999996</v>
      </c>
      <c r="AE25" s="1" t="s">
        <v>47</v>
      </c>
      <c r="AF25" s="1"/>
      <c r="AG25" s="1"/>
      <c r="AH25" s="1"/>
      <c r="AI25" s="1"/>
      <c r="AJ25" s="1">
        <v>1</v>
      </c>
      <c r="AK25" s="1">
        <v>1</v>
      </c>
      <c r="AL25" s="1" t="s">
        <v>48</v>
      </c>
      <c r="AM25" s="1" t="s">
        <v>49</v>
      </c>
      <c r="AN25" s="1"/>
      <c r="AO25" s="1" t="s">
        <v>50</v>
      </c>
      <c r="AP25" s="1">
        <v>60.055551370000003</v>
      </c>
      <c r="AQ25" s="1" t="s">
        <v>51</v>
      </c>
      <c r="AR25" s="1"/>
      <c r="AS25" s="1"/>
      <c r="AT25" s="1"/>
    </row>
    <row r="26" spans="1:46" x14ac:dyDescent="0.35">
      <c r="A26" s="1" t="s">
        <v>52</v>
      </c>
      <c r="B26" s="1" t="s">
        <v>44</v>
      </c>
      <c r="C26" s="1" t="s">
        <v>55</v>
      </c>
      <c r="D26" s="1" t="s">
        <v>46</v>
      </c>
      <c r="E26" s="1">
        <v>9</v>
      </c>
      <c r="F26" s="1">
        <v>1</v>
      </c>
      <c r="G26" s="1">
        <v>2</v>
      </c>
      <c r="H26" s="1" t="s">
        <v>46</v>
      </c>
      <c r="I26" s="1">
        <v>1</v>
      </c>
      <c r="J26" s="1">
        <v>0.59865020000000002</v>
      </c>
      <c r="K26" s="1" t="s">
        <v>47</v>
      </c>
      <c r="L26" s="1">
        <v>2</v>
      </c>
      <c r="M26" s="1">
        <v>1</v>
      </c>
      <c r="N26" s="1">
        <v>9</v>
      </c>
      <c r="O26" s="1">
        <v>2</v>
      </c>
      <c r="P26" s="1">
        <v>11.159508300000001</v>
      </c>
      <c r="Q26" s="1"/>
      <c r="R26" s="1"/>
      <c r="S26" s="1"/>
      <c r="T26" s="1"/>
      <c r="U26" s="1"/>
      <c r="V26" s="1">
        <v>11.1458493</v>
      </c>
      <c r="W26" s="1">
        <v>11.159508300000001</v>
      </c>
      <c r="X26" s="1">
        <v>11.642969799999999</v>
      </c>
      <c r="Y26" s="1">
        <v>11.642969799999999</v>
      </c>
      <c r="Z26" s="1">
        <v>11.642969799999999</v>
      </c>
      <c r="AA26" s="1">
        <v>12.2433447</v>
      </c>
      <c r="AB26" s="1" t="s">
        <v>46</v>
      </c>
      <c r="AC26" s="1">
        <v>1</v>
      </c>
      <c r="AD26" s="1">
        <v>0.59865020000000002</v>
      </c>
      <c r="AE26" s="1" t="s">
        <v>47</v>
      </c>
      <c r="AF26" s="1"/>
      <c r="AG26" s="1"/>
      <c r="AH26" s="1"/>
      <c r="AI26" s="1"/>
      <c r="AJ26" s="1">
        <v>1</v>
      </c>
      <c r="AK26" s="1">
        <v>1</v>
      </c>
      <c r="AL26" s="1" t="s">
        <v>48</v>
      </c>
      <c r="AM26" s="1" t="s">
        <v>49</v>
      </c>
      <c r="AN26" s="1"/>
      <c r="AO26" s="1" t="s">
        <v>50</v>
      </c>
      <c r="AP26" s="1">
        <v>60.055551370000003</v>
      </c>
      <c r="AQ26" s="1" t="s">
        <v>51</v>
      </c>
      <c r="AR26" s="1"/>
      <c r="AS26" s="1"/>
      <c r="AT26" s="1"/>
    </row>
    <row r="27" spans="1:46" x14ac:dyDescent="0.35">
      <c r="A27" s="1" t="s">
        <v>43</v>
      </c>
      <c r="B27" s="1" t="s">
        <v>53</v>
      </c>
      <c r="C27" s="1" t="s">
        <v>55</v>
      </c>
      <c r="D27" s="1" t="s">
        <v>54</v>
      </c>
      <c r="E27" s="1">
        <v>11</v>
      </c>
      <c r="F27" s="1">
        <v>3</v>
      </c>
      <c r="G27" s="1">
        <v>2</v>
      </c>
      <c r="H27" s="1" t="s">
        <v>54</v>
      </c>
      <c r="I27" s="1">
        <v>1</v>
      </c>
      <c r="J27" s="1">
        <v>0.35883670000000001</v>
      </c>
      <c r="K27" s="1" t="s">
        <v>47</v>
      </c>
      <c r="L27" s="1">
        <v>2</v>
      </c>
      <c r="M27" s="1">
        <v>3</v>
      </c>
      <c r="N27" s="1">
        <v>11</v>
      </c>
      <c r="O27" s="1">
        <v>1</v>
      </c>
      <c r="P27" s="1">
        <v>13.2760938</v>
      </c>
      <c r="Q27" s="1"/>
      <c r="R27" s="1"/>
      <c r="S27" s="1"/>
      <c r="T27" s="1"/>
      <c r="U27" s="1"/>
      <c r="V27" s="1">
        <v>13.262526100000001</v>
      </c>
      <c r="W27" s="1">
        <v>13.2760938</v>
      </c>
      <c r="X27" s="1">
        <v>13.759588900000001</v>
      </c>
      <c r="Y27" s="1">
        <v>13.759588900000001</v>
      </c>
      <c r="Z27" s="1">
        <v>13.759588900000001</v>
      </c>
      <c r="AA27" s="1">
        <v>14.126549499999999</v>
      </c>
      <c r="AB27" s="1" t="s">
        <v>54</v>
      </c>
      <c r="AC27" s="1">
        <v>1</v>
      </c>
      <c r="AD27" s="1">
        <v>0.35883670000000001</v>
      </c>
      <c r="AE27" s="1" t="s">
        <v>47</v>
      </c>
      <c r="AF27" s="1"/>
      <c r="AG27" s="1"/>
      <c r="AH27" s="1"/>
      <c r="AI27" s="1"/>
      <c r="AJ27" s="1">
        <v>1</v>
      </c>
      <c r="AK27" s="1">
        <v>1</v>
      </c>
      <c r="AL27" s="1" t="s">
        <v>48</v>
      </c>
      <c r="AM27" s="1" t="s">
        <v>49</v>
      </c>
      <c r="AN27" s="1"/>
      <c r="AO27" s="1" t="s">
        <v>50</v>
      </c>
      <c r="AP27" s="1">
        <v>60.055551370000003</v>
      </c>
      <c r="AQ27" s="1" t="s">
        <v>51</v>
      </c>
      <c r="AR27" s="1"/>
      <c r="AS27" s="1"/>
      <c r="AT27" s="1"/>
    </row>
    <row r="28" spans="1:46" x14ac:dyDescent="0.35">
      <c r="A28" s="1" t="s">
        <v>52</v>
      </c>
      <c r="B28" s="1" t="s">
        <v>44</v>
      </c>
      <c r="C28" s="1" t="s">
        <v>55</v>
      </c>
      <c r="D28" s="1" t="s">
        <v>46</v>
      </c>
      <c r="E28" s="1">
        <v>12</v>
      </c>
      <c r="F28" s="1">
        <v>0</v>
      </c>
      <c r="G28" s="1">
        <v>3</v>
      </c>
      <c r="H28" s="1" t="s">
        <v>54</v>
      </c>
      <c r="I28" s="1">
        <v>0</v>
      </c>
      <c r="J28" s="1">
        <v>0.56821999999999995</v>
      </c>
      <c r="K28" s="1" t="s">
        <v>47</v>
      </c>
      <c r="L28" s="1">
        <v>3</v>
      </c>
      <c r="M28" s="1">
        <v>0</v>
      </c>
      <c r="N28" s="1">
        <v>12</v>
      </c>
      <c r="O28" s="1">
        <v>2</v>
      </c>
      <c r="P28" s="1">
        <v>14.142783</v>
      </c>
      <c r="Q28" s="1"/>
      <c r="R28" s="1"/>
      <c r="S28" s="1"/>
      <c r="T28" s="1"/>
      <c r="U28" s="1"/>
      <c r="V28" s="1">
        <v>14.129129499999999</v>
      </c>
      <c r="W28" s="1">
        <v>14.142783</v>
      </c>
      <c r="X28" s="1">
        <v>14.6260922</v>
      </c>
      <c r="Y28" s="1">
        <v>14.6260922</v>
      </c>
      <c r="Z28" s="1">
        <v>14.6260922</v>
      </c>
      <c r="AA28" s="1">
        <v>15.209768</v>
      </c>
      <c r="AB28" s="1" t="s">
        <v>54</v>
      </c>
      <c r="AC28" s="1">
        <v>0</v>
      </c>
      <c r="AD28" s="1">
        <v>0.56821999999999995</v>
      </c>
      <c r="AE28" s="1" t="s">
        <v>47</v>
      </c>
      <c r="AF28" s="1"/>
      <c r="AG28" s="1"/>
      <c r="AH28" s="1"/>
      <c r="AI28" s="1"/>
      <c r="AJ28" s="1">
        <v>1</v>
      </c>
      <c r="AK28" s="1">
        <v>1</v>
      </c>
      <c r="AL28" s="1" t="s">
        <v>48</v>
      </c>
      <c r="AM28" s="1" t="s">
        <v>49</v>
      </c>
      <c r="AN28" s="1"/>
      <c r="AO28" s="1" t="s">
        <v>50</v>
      </c>
      <c r="AP28" s="1">
        <v>60.055551370000003</v>
      </c>
      <c r="AQ28" s="1" t="s">
        <v>51</v>
      </c>
      <c r="AR28" s="1"/>
      <c r="AS28" s="1"/>
      <c r="AT28" s="1"/>
    </row>
    <row r="29" spans="1:46" x14ac:dyDescent="0.35">
      <c r="A29" s="1" t="s">
        <v>43</v>
      </c>
      <c r="B29" s="1" t="s">
        <v>53</v>
      </c>
      <c r="C29" s="1" t="s">
        <v>55</v>
      </c>
      <c r="D29" s="1" t="s">
        <v>54</v>
      </c>
      <c r="E29" s="1">
        <v>13</v>
      </c>
      <c r="F29" s="1">
        <v>1</v>
      </c>
      <c r="G29" s="1">
        <v>3</v>
      </c>
      <c r="H29" s="1" t="s">
        <v>54</v>
      </c>
      <c r="I29" s="1">
        <v>1</v>
      </c>
      <c r="J29" s="1">
        <v>0.6059447</v>
      </c>
      <c r="K29" s="1" t="s">
        <v>47</v>
      </c>
      <c r="L29" s="1">
        <v>3</v>
      </c>
      <c r="M29" s="1">
        <v>1</v>
      </c>
      <c r="N29" s="1">
        <v>13</v>
      </c>
      <c r="O29" s="1">
        <v>1</v>
      </c>
      <c r="P29" s="1">
        <v>15.225993799999999</v>
      </c>
      <c r="Q29" s="1"/>
      <c r="R29" s="1"/>
      <c r="S29" s="1"/>
      <c r="T29" s="1"/>
      <c r="U29" s="1"/>
      <c r="V29" s="1">
        <v>15.212200899999999</v>
      </c>
      <c r="W29" s="1">
        <v>15.225993799999999</v>
      </c>
      <c r="X29" s="1">
        <v>15.7091764</v>
      </c>
      <c r="Y29" s="1">
        <v>15.7091764</v>
      </c>
      <c r="Z29" s="1">
        <v>15.7091764</v>
      </c>
      <c r="AA29" s="1">
        <v>16.3262052</v>
      </c>
      <c r="AB29" s="1" t="s">
        <v>54</v>
      </c>
      <c r="AC29" s="1">
        <v>1</v>
      </c>
      <c r="AD29" s="1">
        <v>0.6059447</v>
      </c>
      <c r="AE29" s="1" t="s">
        <v>47</v>
      </c>
      <c r="AF29" s="1"/>
      <c r="AG29" s="1"/>
      <c r="AH29" s="1"/>
      <c r="AI29" s="1"/>
      <c r="AJ29" s="1">
        <v>1</v>
      </c>
      <c r="AK29" s="1">
        <v>1</v>
      </c>
      <c r="AL29" s="1" t="s">
        <v>48</v>
      </c>
      <c r="AM29" s="1" t="s">
        <v>49</v>
      </c>
      <c r="AN29" s="1"/>
      <c r="AO29" s="1" t="s">
        <v>50</v>
      </c>
      <c r="AP29" s="1">
        <v>60.055551370000003</v>
      </c>
      <c r="AQ29" s="1" t="s">
        <v>51</v>
      </c>
      <c r="AR29" s="1"/>
      <c r="AS29" s="1"/>
      <c r="AT29" s="1"/>
    </row>
    <row r="30" spans="1:46" x14ac:dyDescent="0.35">
      <c r="A30" s="1" t="s">
        <v>43</v>
      </c>
      <c r="B30" s="1" t="s">
        <v>53</v>
      </c>
      <c r="C30" s="1" t="s">
        <v>55</v>
      </c>
      <c r="D30" s="1" t="s">
        <v>54</v>
      </c>
      <c r="E30" s="1">
        <v>16</v>
      </c>
      <c r="F30" s="1">
        <v>0</v>
      </c>
      <c r="G30" s="1">
        <v>4</v>
      </c>
      <c r="H30" s="1" t="s">
        <v>54</v>
      </c>
      <c r="I30" s="1">
        <v>1</v>
      </c>
      <c r="J30" s="1">
        <v>0.79844559999999998</v>
      </c>
      <c r="K30" s="1" t="s">
        <v>47</v>
      </c>
      <c r="L30" s="1">
        <v>4</v>
      </c>
      <c r="M30" s="1">
        <v>0</v>
      </c>
      <c r="N30" s="1">
        <v>16</v>
      </c>
      <c r="O30" s="1">
        <v>1</v>
      </c>
      <c r="P30" s="1">
        <v>18.3262638</v>
      </c>
      <c r="Q30" s="1"/>
      <c r="R30" s="1"/>
      <c r="S30" s="1"/>
      <c r="T30" s="1"/>
      <c r="U30" s="1"/>
      <c r="V30" s="1">
        <v>18.311706900000001</v>
      </c>
      <c r="W30" s="1">
        <v>18.3262638</v>
      </c>
      <c r="X30" s="1">
        <v>18.809226299999999</v>
      </c>
      <c r="Y30" s="1">
        <v>18.809226299999999</v>
      </c>
      <c r="Z30" s="1">
        <v>18.809226299999999</v>
      </c>
      <c r="AA30" s="1">
        <v>19.610370799999998</v>
      </c>
      <c r="AB30" s="1" t="s">
        <v>54</v>
      </c>
      <c r="AC30" s="1">
        <v>1</v>
      </c>
      <c r="AD30" s="1">
        <v>0.79844559999999998</v>
      </c>
      <c r="AE30" s="1" t="s">
        <v>47</v>
      </c>
      <c r="AF30" s="1"/>
      <c r="AG30" s="1"/>
      <c r="AH30" s="1"/>
      <c r="AI30" s="1"/>
      <c r="AJ30" s="1">
        <v>1</v>
      </c>
      <c r="AK30" s="1">
        <v>1</v>
      </c>
      <c r="AL30" s="1" t="s">
        <v>48</v>
      </c>
      <c r="AM30" s="1" t="s">
        <v>49</v>
      </c>
      <c r="AN30" s="1"/>
      <c r="AO30" s="1" t="s">
        <v>50</v>
      </c>
      <c r="AP30" s="1">
        <v>60.055551370000003</v>
      </c>
      <c r="AQ30" s="1" t="s">
        <v>51</v>
      </c>
      <c r="AR30" s="1"/>
      <c r="AS30" s="1"/>
      <c r="AT30" s="1"/>
    </row>
    <row r="31" spans="1:46" x14ac:dyDescent="0.35">
      <c r="A31" s="1" t="s">
        <v>52</v>
      </c>
      <c r="B31" s="1" t="s">
        <v>44</v>
      </c>
      <c r="C31" s="1" t="s">
        <v>55</v>
      </c>
      <c r="D31" s="1" t="s">
        <v>46</v>
      </c>
      <c r="E31" s="1">
        <v>18</v>
      </c>
      <c r="F31" s="1">
        <v>2</v>
      </c>
      <c r="G31" s="1">
        <v>4</v>
      </c>
      <c r="H31" s="1" t="s">
        <v>46</v>
      </c>
      <c r="I31" s="1">
        <v>1</v>
      </c>
      <c r="J31" s="1">
        <v>0.66802819999999996</v>
      </c>
      <c r="K31" s="1" t="s">
        <v>47</v>
      </c>
      <c r="L31" s="1">
        <v>4</v>
      </c>
      <c r="M31" s="1">
        <v>2</v>
      </c>
      <c r="N31" s="1">
        <v>18</v>
      </c>
      <c r="O31" s="1">
        <v>2</v>
      </c>
      <c r="P31" s="1">
        <v>20.725838400000001</v>
      </c>
      <c r="Q31" s="1"/>
      <c r="R31" s="1"/>
      <c r="S31" s="1"/>
      <c r="T31" s="1"/>
      <c r="U31" s="1"/>
      <c r="V31" s="1">
        <v>20.7158093</v>
      </c>
      <c r="W31" s="1">
        <v>20.725838400000001</v>
      </c>
      <c r="X31" s="1">
        <v>21.2098546</v>
      </c>
      <c r="Y31" s="1">
        <v>21.2098546</v>
      </c>
      <c r="Z31" s="1">
        <v>21.2098546</v>
      </c>
      <c r="AA31" s="1">
        <v>21.959626</v>
      </c>
      <c r="AB31" s="1" t="s">
        <v>46</v>
      </c>
      <c r="AC31" s="1">
        <v>1</v>
      </c>
      <c r="AD31" s="1">
        <v>0.66802819999999996</v>
      </c>
      <c r="AE31" s="1" t="s">
        <v>47</v>
      </c>
      <c r="AF31" s="1"/>
      <c r="AG31" s="1"/>
      <c r="AH31" s="1"/>
      <c r="AI31" s="1"/>
      <c r="AJ31" s="1">
        <v>1</v>
      </c>
      <c r="AK31" s="1">
        <v>1</v>
      </c>
      <c r="AL31" s="1" t="s">
        <v>48</v>
      </c>
      <c r="AM31" s="1" t="s">
        <v>49</v>
      </c>
      <c r="AN31" s="1"/>
      <c r="AO31" s="1" t="s">
        <v>50</v>
      </c>
      <c r="AP31" s="1">
        <v>60.055551370000003</v>
      </c>
      <c r="AQ31" s="1" t="s">
        <v>51</v>
      </c>
      <c r="AR31" s="1"/>
      <c r="AS31" s="1"/>
      <c r="AT31" s="1"/>
    </row>
    <row r="32" spans="1:46" x14ac:dyDescent="0.35">
      <c r="A32" s="1" t="s">
        <v>43</v>
      </c>
      <c r="B32" s="1" t="s">
        <v>53</v>
      </c>
      <c r="C32" s="1" t="s">
        <v>55</v>
      </c>
      <c r="D32" s="1" t="s">
        <v>54</v>
      </c>
      <c r="E32" s="1">
        <v>20</v>
      </c>
      <c r="F32" s="1">
        <v>0</v>
      </c>
      <c r="G32" s="1">
        <v>5</v>
      </c>
      <c r="H32" s="1" t="s">
        <v>54</v>
      </c>
      <c r="I32" s="1">
        <v>1</v>
      </c>
      <c r="J32" s="1">
        <v>0.5369353</v>
      </c>
      <c r="K32" s="1" t="s">
        <v>47</v>
      </c>
      <c r="L32" s="1">
        <v>5</v>
      </c>
      <c r="M32" s="1">
        <v>0</v>
      </c>
      <c r="N32" s="1">
        <v>20</v>
      </c>
      <c r="O32" s="1">
        <v>1</v>
      </c>
      <c r="P32" s="1">
        <v>23.058396800000001</v>
      </c>
      <c r="Q32" s="1"/>
      <c r="R32" s="1"/>
      <c r="S32" s="1"/>
      <c r="T32" s="1"/>
      <c r="U32" s="1"/>
      <c r="V32" s="1">
        <v>22.960676200000002</v>
      </c>
      <c r="W32" s="1">
        <v>23.058396800000001</v>
      </c>
      <c r="X32" s="1">
        <v>23.442236600000001</v>
      </c>
      <c r="Y32" s="1">
        <v>23.442236600000001</v>
      </c>
      <c r="Z32" s="1">
        <v>23.442236600000001</v>
      </c>
      <c r="AA32" s="1">
        <v>23.994271699999999</v>
      </c>
      <c r="AB32" s="1" t="s">
        <v>54</v>
      </c>
      <c r="AC32" s="1">
        <v>1</v>
      </c>
      <c r="AD32" s="1">
        <v>0.5369353</v>
      </c>
      <c r="AE32" s="1" t="s">
        <v>47</v>
      </c>
      <c r="AF32" s="1"/>
      <c r="AG32" s="1"/>
      <c r="AH32" s="1"/>
      <c r="AI32" s="1"/>
      <c r="AJ32" s="1">
        <v>1</v>
      </c>
      <c r="AK32" s="1">
        <v>1</v>
      </c>
      <c r="AL32" s="1" t="s">
        <v>48</v>
      </c>
      <c r="AM32" s="1" t="s">
        <v>49</v>
      </c>
      <c r="AN32" s="1"/>
      <c r="AO32" s="1" t="s">
        <v>50</v>
      </c>
      <c r="AP32" s="1">
        <v>60.055551370000003</v>
      </c>
      <c r="AQ32" s="1" t="s">
        <v>51</v>
      </c>
      <c r="AR32" s="1"/>
      <c r="AS32" s="1"/>
      <c r="AT32" s="1"/>
    </row>
    <row r="33" spans="1:46" x14ac:dyDescent="0.35">
      <c r="A33" s="1" t="s">
        <v>52</v>
      </c>
      <c r="B33" s="1" t="s">
        <v>44</v>
      </c>
      <c r="C33" s="1" t="s">
        <v>55</v>
      </c>
      <c r="D33" s="1" t="s">
        <v>46</v>
      </c>
      <c r="E33" s="1">
        <v>23</v>
      </c>
      <c r="F33" s="1">
        <v>3</v>
      </c>
      <c r="G33" s="1">
        <v>5</v>
      </c>
      <c r="H33" s="1" t="s">
        <v>46</v>
      </c>
      <c r="I33" s="1">
        <v>1</v>
      </c>
      <c r="J33" s="1">
        <v>0.50198640000000005</v>
      </c>
      <c r="K33" s="1" t="s">
        <v>47</v>
      </c>
      <c r="L33" s="1">
        <v>5</v>
      </c>
      <c r="M33" s="1">
        <v>3</v>
      </c>
      <c r="N33" s="1">
        <v>23</v>
      </c>
      <c r="O33" s="1">
        <v>2</v>
      </c>
      <c r="P33" s="1">
        <v>26.0093566</v>
      </c>
      <c r="Q33" s="1"/>
      <c r="R33" s="1"/>
      <c r="S33" s="1"/>
      <c r="T33" s="1"/>
      <c r="U33" s="1"/>
      <c r="V33" s="1">
        <v>25.994062</v>
      </c>
      <c r="W33" s="1">
        <v>26.0093566</v>
      </c>
      <c r="X33" s="1">
        <v>26.492782500000001</v>
      </c>
      <c r="Y33" s="1">
        <v>26.492782500000001</v>
      </c>
      <c r="Z33" s="1">
        <v>26.492782500000001</v>
      </c>
      <c r="AA33" s="1">
        <v>27.009972900000001</v>
      </c>
      <c r="AB33" s="1" t="s">
        <v>46</v>
      </c>
      <c r="AC33" s="1">
        <v>1</v>
      </c>
      <c r="AD33" s="1">
        <v>0.50198640000000005</v>
      </c>
      <c r="AE33" s="1" t="s">
        <v>47</v>
      </c>
      <c r="AF33" s="1"/>
      <c r="AG33" s="1"/>
      <c r="AH33" s="1"/>
      <c r="AI33" s="1"/>
      <c r="AJ33" s="1">
        <v>1</v>
      </c>
      <c r="AK33" s="1">
        <v>1</v>
      </c>
      <c r="AL33" s="1" t="s">
        <v>48</v>
      </c>
      <c r="AM33" s="1" t="s">
        <v>49</v>
      </c>
      <c r="AN33" s="1"/>
      <c r="AO33" s="1" t="s">
        <v>50</v>
      </c>
      <c r="AP33" s="1">
        <v>60.055551370000003</v>
      </c>
      <c r="AQ33" s="1" t="s">
        <v>51</v>
      </c>
      <c r="AR33" s="1"/>
      <c r="AS33" s="1"/>
      <c r="AT33" s="1"/>
    </row>
    <row r="34" spans="1:46" x14ac:dyDescent="0.35">
      <c r="A34" s="1" t="s">
        <v>43</v>
      </c>
      <c r="B34" s="1" t="s">
        <v>53</v>
      </c>
      <c r="C34" s="1" t="s">
        <v>55</v>
      </c>
      <c r="D34" s="1" t="s">
        <v>54</v>
      </c>
      <c r="E34" s="1">
        <v>26</v>
      </c>
      <c r="F34" s="1">
        <v>2</v>
      </c>
      <c r="G34" s="1">
        <v>6</v>
      </c>
      <c r="H34" s="1" t="s">
        <v>54</v>
      </c>
      <c r="I34" s="1">
        <v>1</v>
      </c>
      <c r="J34" s="1">
        <v>0.54990830000000002</v>
      </c>
      <c r="K34" s="1" t="s">
        <v>47</v>
      </c>
      <c r="L34" s="1">
        <v>6</v>
      </c>
      <c r="M34" s="1">
        <v>2</v>
      </c>
      <c r="N34" s="1">
        <v>26</v>
      </c>
      <c r="O34" s="1">
        <v>1</v>
      </c>
      <c r="P34" s="1">
        <v>29.1759801</v>
      </c>
      <c r="Q34" s="1"/>
      <c r="R34" s="1"/>
      <c r="S34" s="1"/>
      <c r="T34" s="1"/>
      <c r="U34" s="1"/>
      <c r="V34" s="1">
        <v>29.160869300000002</v>
      </c>
      <c r="W34" s="1">
        <v>29.1759801</v>
      </c>
      <c r="X34" s="1">
        <v>29.659387899999999</v>
      </c>
      <c r="Y34" s="1">
        <v>29.659387899999999</v>
      </c>
      <c r="Z34" s="1">
        <v>29.659387899999999</v>
      </c>
      <c r="AA34" s="1">
        <v>30.210495300000002</v>
      </c>
      <c r="AB34" s="1" t="s">
        <v>54</v>
      </c>
      <c r="AC34" s="1">
        <v>1</v>
      </c>
      <c r="AD34" s="1">
        <v>0.54990830000000002</v>
      </c>
      <c r="AE34" s="1" t="s">
        <v>47</v>
      </c>
      <c r="AF34" s="1"/>
      <c r="AG34" s="1"/>
      <c r="AH34" s="1"/>
      <c r="AI34" s="1"/>
      <c r="AJ34" s="1">
        <v>1</v>
      </c>
      <c r="AK34" s="1">
        <v>1</v>
      </c>
      <c r="AL34" s="1" t="s">
        <v>48</v>
      </c>
      <c r="AM34" s="1" t="s">
        <v>49</v>
      </c>
      <c r="AN34" s="1"/>
      <c r="AO34" s="1" t="s">
        <v>50</v>
      </c>
      <c r="AP34" s="1">
        <v>60.055551370000003</v>
      </c>
      <c r="AQ34" s="1" t="s">
        <v>51</v>
      </c>
      <c r="AR34" s="1"/>
      <c r="AS34" s="1"/>
      <c r="AT34" s="1"/>
    </row>
    <row r="35" spans="1:46" x14ac:dyDescent="0.35">
      <c r="A35" s="1" t="s">
        <v>52</v>
      </c>
      <c r="B35" s="1" t="s">
        <v>44</v>
      </c>
      <c r="C35" s="1" t="s">
        <v>55</v>
      </c>
      <c r="D35" s="1" t="s">
        <v>46</v>
      </c>
      <c r="E35" s="1">
        <v>27</v>
      </c>
      <c r="F35" s="1">
        <v>3</v>
      </c>
      <c r="G35" s="1">
        <v>6</v>
      </c>
      <c r="H35" s="1" t="s">
        <v>46</v>
      </c>
      <c r="I35" s="1">
        <v>1</v>
      </c>
      <c r="J35" s="1">
        <v>1.3286669</v>
      </c>
      <c r="K35" s="1" t="s">
        <v>47</v>
      </c>
      <c r="L35" s="1">
        <v>6</v>
      </c>
      <c r="M35" s="1">
        <v>3</v>
      </c>
      <c r="N35" s="1">
        <v>27</v>
      </c>
      <c r="O35" s="1">
        <v>2</v>
      </c>
      <c r="P35" s="1">
        <v>30.225769199999998</v>
      </c>
      <c r="Q35" s="1"/>
      <c r="R35" s="1"/>
      <c r="S35" s="1"/>
      <c r="T35" s="1"/>
      <c r="U35" s="1"/>
      <c r="V35" s="1">
        <v>30.215758900000001</v>
      </c>
      <c r="W35" s="1">
        <v>30.225769199999998</v>
      </c>
      <c r="X35" s="1">
        <v>30.726152899999999</v>
      </c>
      <c r="Y35" s="1">
        <v>30.726152899999999</v>
      </c>
      <c r="Z35" s="1">
        <v>30.726152899999999</v>
      </c>
      <c r="AA35" s="1">
        <v>32.059900200000001</v>
      </c>
      <c r="AB35" s="1" t="s">
        <v>46</v>
      </c>
      <c r="AC35" s="1">
        <v>1</v>
      </c>
      <c r="AD35" s="1">
        <v>1.3286669</v>
      </c>
      <c r="AE35" s="1" t="s">
        <v>47</v>
      </c>
      <c r="AF35" s="1"/>
      <c r="AG35" s="1"/>
      <c r="AH35" s="1"/>
      <c r="AI35" s="1"/>
      <c r="AJ35" s="1">
        <v>1</v>
      </c>
      <c r="AK35" s="1">
        <v>1</v>
      </c>
      <c r="AL35" s="1" t="s">
        <v>48</v>
      </c>
      <c r="AM35" s="1" t="s">
        <v>49</v>
      </c>
      <c r="AN35" s="1"/>
      <c r="AO35" s="1" t="s">
        <v>50</v>
      </c>
      <c r="AP35" s="1">
        <v>60.055551370000003</v>
      </c>
      <c r="AQ35" s="1" t="s">
        <v>51</v>
      </c>
      <c r="AR35" s="1"/>
      <c r="AS35" s="1"/>
      <c r="AT35" s="1"/>
    </row>
    <row r="36" spans="1:46" x14ac:dyDescent="0.35">
      <c r="A36" s="1" t="s">
        <v>52</v>
      </c>
      <c r="B36" s="1" t="s">
        <v>44</v>
      </c>
      <c r="C36" s="1" t="s">
        <v>55</v>
      </c>
      <c r="D36" s="1" t="s">
        <v>46</v>
      </c>
      <c r="E36" s="1">
        <v>28</v>
      </c>
      <c r="F36" s="1">
        <v>0</v>
      </c>
      <c r="G36" s="1">
        <v>7</v>
      </c>
      <c r="H36" s="1" t="s">
        <v>46</v>
      </c>
      <c r="I36" s="1">
        <v>1</v>
      </c>
      <c r="J36" s="1">
        <v>0.49882510000000002</v>
      </c>
      <c r="K36" s="1" t="s">
        <v>47</v>
      </c>
      <c r="L36" s="1">
        <v>7</v>
      </c>
      <c r="M36" s="1">
        <v>0</v>
      </c>
      <c r="N36" s="1">
        <v>28</v>
      </c>
      <c r="O36" s="1">
        <v>2</v>
      </c>
      <c r="P36" s="1">
        <v>32.075459899999998</v>
      </c>
      <c r="Q36" s="1"/>
      <c r="R36" s="1"/>
      <c r="S36" s="1"/>
      <c r="T36" s="1"/>
      <c r="U36" s="1"/>
      <c r="V36" s="1">
        <v>32.060840499999998</v>
      </c>
      <c r="W36" s="1">
        <v>32.075459899999998</v>
      </c>
      <c r="X36" s="1">
        <v>32.559482500000001</v>
      </c>
      <c r="Y36" s="1">
        <v>32.559482500000001</v>
      </c>
      <c r="Z36" s="1">
        <v>32.559482500000001</v>
      </c>
      <c r="AA36" s="1">
        <v>33.0594544</v>
      </c>
      <c r="AB36" s="1" t="s">
        <v>46</v>
      </c>
      <c r="AC36" s="1">
        <v>1</v>
      </c>
      <c r="AD36" s="1">
        <v>0.49882510000000002</v>
      </c>
      <c r="AE36" s="1" t="s">
        <v>47</v>
      </c>
      <c r="AF36" s="1"/>
      <c r="AG36" s="1"/>
      <c r="AH36" s="1"/>
      <c r="AI36" s="1"/>
      <c r="AJ36" s="1">
        <v>1</v>
      </c>
      <c r="AK36" s="1">
        <v>1</v>
      </c>
      <c r="AL36" s="1" t="s">
        <v>48</v>
      </c>
      <c r="AM36" s="1" t="s">
        <v>49</v>
      </c>
      <c r="AN36" s="1"/>
      <c r="AO36" s="1" t="s">
        <v>50</v>
      </c>
      <c r="AP36" s="1">
        <v>60.055551370000003</v>
      </c>
      <c r="AQ36" s="1" t="s">
        <v>51</v>
      </c>
      <c r="AR36" s="1"/>
      <c r="AS36" s="1"/>
      <c r="AT36" s="1"/>
    </row>
    <row r="37" spans="1:46" x14ac:dyDescent="0.35">
      <c r="A37" s="1" t="s">
        <v>43</v>
      </c>
      <c r="B37" s="1" t="s">
        <v>53</v>
      </c>
      <c r="C37" s="1" t="s">
        <v>55</v>
      </c>
      <c r="D37" s="1" t="s">
        <v>54</v>
      </c>
      <c r="E37" s="1">
        <v>30</v>
      </c>
      <c r="F37" s="1">
        <v>2</v>
      </c>
      <c r="G37" s="1">
        <v>7</v>
      </c>
      <c r="H37" s="1" t="s">
        <v>54</v>
      </c>
      <c r="I37" s="1">
        <v>1</v>
      </c>
      <c r="J37" s="1">
        <v>0.71948239999999997</v>
      </c>
      <c r="K37" s="1" t="s">
        <v>47</v>
      </c>
      <c r="L37" s="1">
        <v>7</v>
      </c>
      <c r="M37" s="1">
        <v>2</v>
      </c>
      <c r="N37" s="1">
        <v>30</v>
      </c>
      <c r="O37" s="1">
        <v>1</v>
      </c>
      <c r="P37" s="1">
        <v>34.159114500000001</v>
      </c>
      <c r="Q37" s="1"/>
      <c r="R37" s="1"/>
      <c r="S37" s="1"/>
      <c r="T37" s="1"/>
      <c r="U37" s="1"/>
      <c r="V37" s="1">
        <v>34.144084900000003</v>
      </c>
      <c r="W37" s="1">
        <v>34.159114500000001</v>
      </c>
      <c r="X37" s="1">
        <v>34.6426509</v>
      </c>
      <c r="Y37" s="1">
        <v>34.6426509</v>
      </c>
      <c r="Z37" s="1">
        <v>34.6426509</v>
      </c>
      <c r="AA37" s="1">
        <v>35.377072599999998</v>
      </c>
      <c r="AB37" s="1" t="s">
        <v>54</v>
      </c>
      <c r="AC37" s="1">
        <v>1</v>
      </c>
      <c r="AD37" s="1">
        <v>0.71948239999999997</v>
      </c>
      <c r="AE37" s="1" t="s">
        <v>47</v>
      </c>
      <c r="AF37" s="1"/>
      <c r="AG37" s="1"/>
      <c r="AH37" s="1"/>
      <c r="AI37" s="1"/>
      <c r="AJ37" s="1">
        <v>1</v>
      </c>
      <c r="AK37" s="1">
        <v>1</v>
      </c>
      <c r="AL37" s="1" t="s">
        <v>48</v>
      </c>
      <c r="AM37" s="1" t="s">
        <v>49</v>
      </c>
      <c r="AN37" s="1"/>
      <c r="AO37" s="1" t="s">
        <v>50</v>
      </c>
      <c r="AP37" s="1">
        <v>60.055551370000003</v>
      </c>
      <c r="AQ37" s="1" t="s">
        <v>51</v>
      </c>
      <c r="AR37" s="1"/>
      <c r="AS37" s="1"/>
      <c r="AT37" s="1"/>
    </row>
    <row r="38" spans="1:46" x14ac:dyDescent="0.35">
      <c r="A38" s="1" t="s">
        <v>43</v>
      </c>
      <c r="B38" s="1" t="s">
        <v>53</v>
      </c>
      <c r="C38" s="1" t="s">
        <v>55</v>
      </c>
      <c r="D38" s="1" t="s">
        <v>54</v>
      </c>
      <c r="E38" s="1">
        <v>34</v>
      </c>
      <c r="F38" s="1">
        <v>2</v>
      </c>
      <c r="G38" s="1">
        <v>8</v>
      </c>
      <c r="H38" s="1" t="s">
        <v>54</v>
      </c>
      <c r="I38" s="1">
        <v>1</v>
      </c>
      <c r="J38" s="1">
        <v>0.60111060000000005</v>
      </c>
      <c r="K38" s="1" t="s">
        <v>47</v>
      </c>
      <c r="L38" s="1">
        <v>8</v>
      </c>
      <c r="M38" s="1">
        <v>2</v>
      </c>
      <c r="N38" s="1">
        <v>34</v>
      </c>
      <c r="O38" s="1">
        <v>1</v>
      </c>
      <c r="P38" s="1">
        <v>38.608576399999997</v>
      </c>
      <c r="Q38" s="1"/>
      <c r="R38" s="1"/>
      <c r="S38" s="1"/>
      <c r="T38" s="1"/>
      <c r="U38" s="1"/>
      <c r="V38" s="1">
        <v>38.593807499999997</v>
      </c>
      <c r="W38" s="1">
        <v>38.608576399999997</v>
      </c>
      <c r="X38" s="1">
        <v>39.109820800000001</v>
      </c>
      <c r="Y38" s="1">
        <v>39.109820800000001</v>
      </c>
      <c r="Z38" s="1">
        <v>39.109820800000001</v>
      </c>
      <c r="AA38" s="1">
        <v>39.726042100000001</v>
      </c>
      <c r="AB38" s="1" t="s">
        <v>54</v>
      </c>
      <c r="AC38" s="1">
        <v>1</v>
      </c>
      <c r="AD38" s="1">
        <v>0.60111060000000005</v>
      </c>
      <c r="AE38" s="1" t="s">
        <v>47</v>
      </c>
      <c r="AF38" s="1"/>
      <c r="AG38" s="1"/>
      <c r="AH38" s="1"/>
      <c r="AI38" s="1"/>
      <c r="AJ38" s="1">
        <v>1</v>
      </c>
      <c r="AK38" s="1">
        <v>1</v>
      </c>
      <c r="AL38" s="1" t="s">
        <v>48</v>
      </c>
      <c r="AM38" s="1" t="s">
        <v>49</v>
      </c>
      <c r="AN38" s="1"/>
      <c r="AO38" s="1" t="s">
        <v>50</v>
      </c>
      <c r="AP38" s="1">
        <v>60.055551370000003</v>
      </c>
      <c r="AQ38" s="1" t="s">
        <v>51</v>
      </c>
      <c r="AR38" s="1"/>
      <c r="AS38" s="1"/>
      <c r="AT38" s="1"/>
    </row>
    <row r="39" spans="1:46" x14ac:dyDescent="0.35">
      <c r="A39" s="1" t="s">
        <v>52</v>
      </c>
      <c r="B39" s="1" t="s">
        <v>44</v>
      </c>
      <c r="C39" s="1" t="s">
        <v>55</v>
      </c>
      <c r="D39" s="1" t="s">
        <v>46</v>
      </c>
      <c r="E39" s="1">
        <v>35</v>
      </c>
      <c r="F39" s="1">
        <v>3</v>
      </c>
      <c r="G39" s="1">
        <v>8</v>
      </c>
      <c r="H39" s="1" t="s">
        <v>46</v>
      </c>
      <c r="I39" s="1">
        <v>1</v>
      </c>
      <c r="J39" s="1">
        <v>0.51354049999999996</v>
      </c>
      <c r="K39" s="1" t="s">
        <v>47</v>
      </c>
      <c r="L39" s="1">
        <v>8</v>
      </c>
      <c r="M39" s="1">
        <v>3</v>
      </c>
      <c r="N39" s="1">
        <v>35</v>
      </c>
      <c r="O39" s="1">
        <v>2</v>
      </c>
      <c r="P39" s="1">
        <v>39.742097600000001</v>
      </c>
      <c r="Q39" s="1"/>
      <c r="R39" s="1"/>
      <c r="S39" s="1"/>
      <c r="T39" s="1"/>
      <c r="U39" s="1"/>
      <c r="V39" s="1">
        <v>39.730578800000004</v>
      </c>
      <c r="W39" s="1">
        <v>39.742097600000001</v>
      </c>
      <c r="X39" s="1">
        <v>40.225621699999998</v>
      </c>
      <c r="Y39" s="1">
        <v>40.225621699999998</v>
      </c>
      <c r="Z39" s="1">
        <v>40.225621699999998</v>
      </c>
      <c r="AA39" s="1">
        <v>40.743068700000002</v>
      </c>
      <c r="AB39" s="1" t="s">
        <v>46</v>
      </c>
      <c r="AC39" s="1">
        <v>1</v>
      </c>
      <c r="AD39" s="1">
        <v>0.51354049999999996</v>
      </c>
      <c r="AE39" s="1" t="s">
        <v>47</v>
      </c>
      <c r="AF39" s="1"/>
      <c r="AG39" s="1"/>
      <c r="AH39" s="1"/>
      <c r="AI39" s="1"/>
      <c r="AJ39" s="1">
        <v>1</v>
      </c>
      <c r="AK39" s="1">
        <v>1</v>
      </c>
      <c r="AL39" s="1" t="s">
        <v>48</v>
      </c>
      <c r="AM39" s="1" t="s">
        <v>49</v>
      </c>
      <c r="AN39" s="1"/>
      <c r="AO39" s="1" t="s">
        <v>50</v>
      </c>
      <c r="AP39" s="1">
        <v>60.055551370000003</v>
      </c>
      <c r="AQ39" s="1" t="s">
        <v>51</v>
      </c>
      <c r="AR39" s="1"/>
      <c r="AS39" s="1"/>
      <c r="AT39" s="1"/>
    </row>
    <row r="40" spans="1:46" x14ac:dyDescent="0.35">
      <c r="A40" s="1" t="s">
        <v>52</v>
      </c>
      <c r="B40" s="1" t="s">
        <v>44</v>
      </c>
      <c r="C40" s="1" t="s">
        <v>55</v>
      </c>
      <c r="D40" s="1" t="s">
        <v>46</v>
      </c>
      <c r="E40" s="1">
        <v>36</v>
      </c>
      <c r="F40" s="1">
        <v>0</v>
      </c>
      <c r="G40" s="1">
        <v>9</v>
      </c>
      <c r="H40" s="1" t="s">
        <v>46</v>
      </c>
      <c r="I40" s="1">
        <v>1</v>
      </c>
      <c r="J40" s="1">
        <v>0.65384710000000001</v>
      </c>
      <c r="K40" s="1" t="s">
        <v>47</v>
      </c>
      <c r="L40" s="1">
        <v>9</v>
      </c>
      <c r="M40" s="1">
        <v>0</v>
      </c>
      <c r="N40" s="1">
        <v>36</v>
      </c>
      <c r="O40" s="1">
        <v>2</v>
      </c>
      <c r="P40" s="1">
        <v>40.758916200000002</v>
      </c>
      <c r="Q40" s="1"/>
      <c r="R40" s="1"/>
      <c r="S40" s="1"/>
      <c r="T40" s="1"/>
      <c r="U40" s="1"/>
      <c r="V40" s="1">
        <v>40.7440079</v>
      </c>
      <c r="W40" s="1">
        <v>40.758916200000002</v>
      </c>
      <c r="X40" s="1">
        <v>41.258910800000002</v>
      </c>
      <c r="Y40" s="1">
        <v>41.258910800000002</v>
      </c>
      <c r="Z40" s="1">
        <v>41.258910800000002</v>
      </c>
      <c r="AA40" s="1">
        <v>41.9267951</v>
      </c>
      <c r="AB40" s="1" t="s">
        <v>46</v>
      </c>
      <c r="AC40" s="1">
        <v>1</v>
      </c>
      <c r="AD40" s="1">
        <v>0.65384710000000001</v>
      </c>
      <c r="AE40" s="1" t="s">
        <v>47</v>
      </c>
      <c r="AF40" s="1"/>
      <c r="AG40" s="1"/>
      <c r="AH40" s="1"/>
      <c r="AI40" s="1"/>
      <c r="AJ40" s="1">
        <v>1</v>
      </c>
      <c r="AK40" s="1">
        <v>1</v>
      </c>
      <c r="AL40" s="1" t="s">
        <v>48</v>
      </c>
      <c r="AM40" s="1" t="s">
        <v>49</v>
      </c>
      <c r="AN40" s="1"/>
      <c r="AO40" s="1" t="s">
        <v>50</v>
      </c>
      <c r="AP40" s="1">
        <v>60.055551370000003</v>
      </c>
      <c r="AQ40" s="1" t="s">
        <v>51</v>
      </c>
      <c r="AR40" s="1"/>
      <c r="AS40" s="1"/>
      <c r="AT40" s="1"/>
    </row>
    <row r="41" spans="1:46" x14ac:dyDescent="0.35">
      <c r="A41" s="1" t="s">
        <v>43</v>
      </c>
      <c r="B41" s="1" t="s">
        <v>53</v>
      </c>
      <c r="C41" s="1" t="s">
        <v>55</v>
      </c>
      <c r="D41" s="1" t="s">
        <v>54</v>
      </c>
      <c r="E41" s="1">
        <v>39</v>
      </c>
      <c r="F41" s="1">
        <v>3</v>
      </c>
      <c r="G41" s="1">
        <v>9</v>
      </c>
      <c r="H41" s="1" t="s">
        <v>54</v>
      </c>
      <c r="I41" s="1">
        <v>1</v>
      </c>
      <c r="J41" s="1">
        <v>0.52554100000000004</v>
      </c>
      <c r="K41" s="1" t="s">
        <v>47</v>
      </c>
      <c r="L41" s="1">
        <v>9</v>
      </c>
      <c r="M41" s="1">
        <v>3</v>
      </c>
      <c r="N41" s="1">
        <v>39</v>
      </c>
      <c r="O41" s="1">
        <v>1</v>
      </c>
      <c r="P41" s="1">
        <v>44.242222599999998</v>
      </c>
      <c r="Q41" s="1"/>
      <c r="R41" s="1"/>
      <c r="S41" s="1"/>
      <c r="T41" s="1"/>
      <c r="U41" s="1"/>
      <c r="V41" s="1">
        <v>44.2269054</v>
      </c>
      <c r="W41" s="1">
        <v>44.242222599999998</v>
      </c>
      <c r="X41" s="1">
        <v>44.725285800000002</v>
      </c>
      <c r="Y41" s="1">
        <v>44.725285800000002</v>
      </c>
      <c r="Z41" s="1">
        <v>44.725285800000002</v>
      </c>
      <c r="AA41" s="1">
        <v>45.258719999999997</v>
      </c>
      <c r="AB41" s="1" t="s">
        <v>54</v>
      </c>
      <c r="AC41" s="1">
        <v>1</v>
      </c>
      <c r="AD41" s="1">
        <v>0.52554100000000004</v>
      </c>
      <c r="AE41" s="1" t="s">
        <v>47</v>
      </c>
      <c r="AF41" s="1"/>
      <c r="AG41" s="1"/>
      <c r="AH41" s="1"/>
      <c r="AI41" s="1"/>
      <c r="AJ41" s="1">
        <v>1</v>
      </c>
      <c r="AK41" s="1">
        <v>1</v>
      </c>
      <c r="AL41" s="1" t="s">
        <v>48</v>
      </c>
      <c r="AM41" s="1" t="s">
        <v>49</v>
      </c>
      <c r="AN41" s="1"/>
      <c r="AO41" s="1" t="s">
        <v>50</v>
      </c>
      <c r="AP41" s="1">
        <v>60.055551370000003</v>
      </c>
      <c r="AQ41" s="1" t="s">
        <v>51</v>
      </c>
      <c r="AR41" s="1"/>
      <c r="AS41" s="1"/>
      <c r="AT41" s="1"/>
    </row>
    <row r="42" spans="1:46" x14ac:dyDescent="0.35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>
        <v>2.5669999999999998E-3</v>
      </c>
      <c r="S42" s="1">
        <v>5.6194000000000001E-3</v>
      </c>
      <c r="T42" s="1">
        <v>2.0098623999999998</v>
      </c>
      <c r="U42" s="1">
        <v>1.9937107000000001</v>
      </c>
      <c r="V42" s="1"/>
      <c r="W42" s="1"/>
      <c r="X42" s="1"/>
      <c r="Y42" s="1"/>
      <c r="Z42" s="1"/>
      <c r="AA42" s="1"/>
      <c r="AB42" s="1"/>
      <c r="AC42" s="1"/>
      <c r="AD42" s="1"/>
      <c r="AE42" s="1"/>
      <c r="AF42" s="1"/>
      <c r="AG42" s="1"/>
      <c r="AH42" s="1"/>
      <c r="AI42" s="1"/>
      <c r="AJ42" s="1">
        <v>1</v>
      </c>
      <c r="AK42" s="1">
        <v>1</v>
      </c>
      <c r="AL42" s="1" t="s">
        <v>48</v>
      </c>
      <c r="AM42" s="1" t="s">
        <v>49</v>
      </c>
      <c r="AN42" s="1"/>
      <c r="AO42" s="1" t="s">
        <v>50</v>
      </c>
      <c r="AP42" s="1">
        <v>60.055551370000003</v>
      </c>
      <c r="AQ42" s="1" t="s">
        <v>51</v>
      </c>
      <c r="AR42" s="1"/>
      <c r="AS42" s="1"/>
      <c r="AT42" s="1"/>
    </row>
    <row r="43" spans="1:46" x14ac:dyDescent="0.35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  <c r="AB43" s="1"/>
      <c r="AC43" s="1"/>
      <c r="AD43" s="1"/>
      <c r="AE43" s="1"/>
      <c r="AF43" s="1">
        <v>45.2588826</v>
      </c>
      <c r="AG43" s="1">
        <v>45.275266700000003</v>
      </c>
      <c r="AH43" s="1">
        <v>47.275013999999999</v>
      </c>
      <c r="AI43" s="1">
        <v>47.2583628</v>
      </c>
      <c r="AJ43" s="1">
        <v>1</v>
      </c>
      <c r="AK43" s="1">
        <v>1</v>
      </c>
      <c r="AL43" s="1" t="s">
        <v>48</v>
      </c>
      <c r="AM43" s="1" t="s">
        <v>49</v>
      </c>
      <c r="AN43" s="1"/>
      <c r="AO43" s="1" t="s">
        <v>50</v>
      </c>
      <c r="AP43" s="1">
        <v>60.055551370000003</v>
      </c>
      <c r="AQ43" s="1" t="s">
        <v>51</v>
      </c>
      <c r="AR43" s="1"/>
      <c r="AS43" s="1"/>
      <c r="AT43" s="1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0DF675-A8A2-456A-B536-F27CAA0EB946}">
  <dimension ref="A1:AT43"/>
  <sheetViews>
    <sheetView workbookViewId="0">
      <selection activeCell="I1" sqref="I1"/>
    </sheetView>
  </sheetViews>
  <sheetFormatPr defaultRowHeight="14.5" x14ac:dyDescent="0.35"/>
  <sheetData>
    <row r="1" spans="1:46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/>
      <c r="AS1" s="1"/>
      <c r="AT1" s="1"/>
    </row>
    <row r="2" spans="1:46" x14ac:dyDescent="0.35">
      <c r="A2" s="1" t="s">
        <v>43</v>
      </c>
      <c r="B2" s="1" t="s">
        <v>44</v>
      </c>
      <c r="C2" s="1" t="s">
        <v>45</v>
      </c>
      <c r="D2" s="1" t="s">
        <v>46</v>
      </c>
      <c r="E2" s="1">
        <v>1</v>
      </c>
      <c r="F2" s="1">
        <v>1</v>
      </c>
      <c r="G2" s="1">
        <v>0</v>
      </c>
      <c r="H2" s="1" t="s">
        <v>46</v>
      </c>
      <c r="I2" s="1">
        <v>1</v>
      </c>
      <c r="J2" s="1">
        <v>0.4593141</v>
      </c>
      <c r="K2" s="1" t="s">
        <v>47</v>
      </c>
      <c r="L2" s="1">
        <v>0</v>
      </c>
      <c r="M2" s="1">
        <v>1</v>
      </c>
      <c r="N2" s="1">
        <v>1</v>
      </c>
      <c r="O2" s="1">
        <v>0</v>
      </c>
      <c r="P2" s="1">
        <v>3.3236865</v>
      </c>
      <c r="Q2" s="1"/>
      <c r="R2" s="1"/>
      <c r="S2" s="1"/>
      <c r="T2" s="1"/>
      <c r="U2" s="1"/>
      <c r="V2" s="1">
        <v>3.3186927000000002</v>
      </c>
      <c r="W2" s="1">
        <v>3.3236865</v>
      </c>
      <c r="X2" s="1">
        <v>3.8237963000000001</v>
      </c>
      <c r="Y2" s="1">
        <v>3.8237963000000001</v>
      </c>
      <c r="Z2" s="1">
        <v>3.8237963000000001</v>
      </c>
      <c r="AA2" s="1">
        <v>4.2908020999999996</v>
      </c>
      <c r="AB2" s="1" t="s">
        <v>46</v>
      </c>
      <c r="AC2" s="1">
        <v>1</v>
      </c>
      <c r="AD2" s="1">
        <v>0.4593141</v>
      </c>
      <c r="AE2" s="1" t="s">
        <v>47</v>
      </c>
      <c r="AF2" s="1"/>
      <c r="AG2" s="1"/>
      <c r="AH2" s="1"/>
      <c r="AI2" s="1"/>
      <c r="AJ2" s="1">
        <v>1</v>
      </c>
      <c r="AK2" s="1">
        <v>1</v>
      </c>
      <c r="AL2" s="1" t="s">
        <v>56</v>
      </c>
      <c r="AM2" s="1" t="s">
        <v>49</v>
      </c>
      <c r="AN2" s="1"/>
      <c r="AO2" s="1" t="s">
        <v>50</v>
      </c>
      <c r="AP2" s="1">
        <v>59.998764020000003</v>
      </c>
      <c r="AQ2" s="1" t="s">
        <v>57</v>
      </c>
      <c r="AR2" s="1"/>
      <c r="AS2" s="1"/>
      <c r="AT2" s="1"/>
    </row>
    <row r="3" spans="1:46" x14ac:dyDescent="0.35">
      <c r="A3" s="1" t="s">
        <v>52</v>
      </c>
      <c r="B3" s="1" t="s">
        <v>53</v>
      </c>
      <c r="C3" s="1" t="s">
        <v>45</v>
      </c>
      <c r="D3" s="1" t="s">
        <v>54</v>
      </c>
      <c r="E3" s="1">
        <v>2</v>
      </c>
      <c r="F3" s="1">
        <v>2</v>
      </c>
      <c r="G3" s="1">
        <v>0</v>
      </c>
      <c r="H3" s="1" t="s">
        <v>54</v>
      </c>
      <c r="I3" s="1">
        <v>1</v>
      </c>
      <c r="J3" s="1">
        <v>0.471441</v>
      </c>
      <c r="K3" s="1" t="s">
        <v>47</v>
      </c>
      <c r="L3" s="1">
        <v>0</v>
      </c>
      <c r="M3" s="1">
        <v>2</v>
      </c>
      <c r="N3" s="1">
        <v>2</v>
      </c>
      <c r="O3" s="1">
        <v>3</v>
      </c>
      <c r="P3" s="1">
        <v>4.3068898999999998</v>
      </c>
      <c r="Q3" s="1"/>
      <c r="R3" s="1"/>
      <c r="S3" s="1"/>
      <c r="T3" s="1"/>
      <c r="U3" s="1"/>
      <c r="V3" s="1">
        <v>4.2982028999999997</v>
      </c>
      <c r="W3" s="1">
        <v>4.3068898999999998</v>
      </c>
      <c r="X3" s="1">
        <v>4.7903368999999998</v>
      </c>
      <c r="Y3" s="1">
        <v>4.7903368999999998</v>
      </c>
      <c r="Z3" s="1">
        <v>4.7903368999999998</v>
      </c>
      <c r="AA3" s="1">
        <v>5.2743894999999998</v>
      </c>
      <c r="AB3" s="1" t="s">
        <v>54</v>
      </c>
      <c r="AC3" s="1">
        <v>1</v>
      </c>
      <c r="AD3" s="1">
        <v>0.471441</v>
      </c>
      <c r="AE3" s="1" t="s">
        <v>47</v>
      </c>
      <c r="AF3" s="1"/>
      <c r="AG3" s="1"/>
      <c r="AH3" s="1"/>
      <c r="AI3" s="1"/>
      <c r="AJ3" s="1">
        <v>1</v>
      </c>
      <c r="AK3" s="1">
        <v>1</v>
      </c>
      <c r="AL3" s="1" t="s">
        <v>56</v>
      </c>
      <c r="AM3" s="1" t="s">
        <v>49</v>
      </c>
      <c r="AN3" s="1"/>
      <c r="AO3" s="1" t="s">
        <v>50</v>
      </c>
      <c r="AP3" s="1">
        <v>59.998764020000003</v>
      </c>
      <c r="AQ3" s="1" t="s">
        <v>57</v>
      </c>
      <c r="AR3" s="1"/>
      <c r="AS3" s="1"/>
      <c r="AT3" s="1"/>
    </row>
    <row r="4" spans="1:46" x14ac:dyDescent="0.35">
      <c r="A4" s="1" t="s">
        <v>43</v>
      </c>
      <c r="B4" s="1" t="s">
        <v>44</v>
      </c>
      <c r="C4" s="1" t="s">
        <v>45</v>
      </c>
      <c r="D4" s="1" t="s">
        <v>46</v>
      </c>
      <c r="E4" s="1">
        <v>6</v>
      </c>
      <c r="F4" s="1">
        <v>2</v>
      </c>
      <c r="G4" s="1">
        <v>1</v>
      </c>
      <c r="H4" s="1" t="s">
        <v>46</v>
      </c>
      <c r="I4" s="1">
        <v>1</v>
      </c>
      <c r="J4" s="1">
        <v>0.44731599999999999</v>
      </c>
      <c r="K4" s="1" t="s">
        <v>47</v>
      </c>
      <c r="L4" s="1">
        <v>1</v>
      </c>
      <c r="M4" s="1">
        <v>2</v>
      </c>
      <c r="N4" s="1">
        <v>6</v>
      </c>
      <c r="O4" s="1">
        <v>0</v>
      </c>
      <c r="P4" s="1">
        <v>8.2406006999999999</v>
      </c>
      <c r="Q4" s="1"/>
      <c r="R4" s="1"/>
      <c r="S4" s="1"/>
      <c r="T4" s="1"/>
      <c r="U4" s="1"/>
      <c r="V4" s="1">
        <v>8.2258946999999996</v>
      </c>
      <c r="W4" s="1">
        <v>8.2406006999999999</v>
      </c>
      <c r="X4" s="1">
        <v>8.7238492000000001</v>
      </c>
      <c r="Y4" s="1">
        <v>8.7238492000000001</v>
      </c>
      <c r="Z4" s="1">
        <v>8.7238492000000001</v>
      </c>
      <c r="AA4" s="1">
        <v>9.1742498999999995</v>
      </c>
      <c r="AB4" s="1" t="s">
        <v>46</v>
      </c>
      <c r="AC4" s="1">
        <v>1</v>
      </c>
      <c r="AD4" s="1">
        <v>0.44731599999999999</v>
      </c>
      <c r="AE4" s="1" t="s">
        <v>47</v>
      </c>
      <c r="AF4" s="1"/>
      <c r="AG4" s="1"/>
      <c r="AH4" s="1"/>
      <c r="AI4" s="1"/>
      <c r="AJ4" s="1">
        <v>1</v>
      </c>
      <c r="AK4" s="1">
        <v>1</v>
      </c>
      <c r="AL4" s="1" t="s">
        <v>56</v>
      </c>
      <c r="AM4" s="1" t="s">
        <v>49</v>
      </c>
      <c r="AN4" s="1"/>
      <c r="AO4" s="1" t="s">
        <v>50</v>
      </c>
      <c r="AP4" s="1">
        <v>59.998764020000003</v>
      </c>
      <c r="AQ4" s="1" t="s">
        <v>57</v>
      </c>
      <c r="AR4" s="1"/>
      <c r="AS4" s="1"/>
      <c r="AT4" s="1"/>
    </row>
    <row r="5" spans="1:46" x14ac:dyDescent="0.35">
      <c r="A5" s="1" t="s">
        <v>52</v>
      </c>
      <c r="B5" s="1" t="s">
        <v>53</v>
      </c>
      <c r="C5" s="1" t="s">
        <v>45</v>
      </c>
      <c r="D5" s="1" t="s">
        <v>54</v>
      </c>
      <c r="E5" s="1">
        <v>7</v>
      </c>
      <c r="F5" s="1">
        <v>3</v>
      </c>
      <c r="G5" s="1">
        <v>1</v>
      </c>
      <c r="H5" s="1" t="s">
        <v>54</v>
      </c>
      <c r="I5" s="1">
        <v>1</v>
      </c>
      <c r="J5" s="1">
        <v>0.4612677</v>
      </c>
      <c r="K5" s="1" t="s">
        <v>47</v>
      </c>
      <c r="L5" s="1">
        <v>1</v>
      </c>
      <c r="M5" s="1">
        <v>3</v>
      </c>
      <c r="N5" s="1">
        <v>7</v>
      </c>
      <c r="O5" s="1">
        <v>3</v>
      </c>
      <c r="P5" s="1">
        <v>9.1903891000000009</v>
      </c>
      <c r="Q5" s="1"/>
      <c r="R5" s="1"/>
      <c r="S5" s="1"/>
      <c r="T5" s="1"/>
      <c r="U5" s="1"/>
      <c r="V5" s="1">
        <v>9.1784885999999997</v>
      </c>
      <c r="W5" s="1">
        <v>9.1903891000000009</v>
      </c>
      <c r="X5" s="1">
        <v>9.6733551999999996</v>
      </c>
      <c r="Y5" s="1">
        <v>9.6733551999999996</v>
      </c>
      <c r="Z5" s="1">
        <v>9.6733551999999996</v>
      </c>
      <c r="AA5" s="1">
        <v>10.140424100000001</v>
      </c>
      <c r="AB5" s="1" t="s">
        <v>54</v>
      </c>
      <c r="AC5" s="1">
        <v>1</v>
      </c>
      <c r="AD5" s="1">
        <v>0.4612677</v>
      </c>
      <c r="AE5" s="1" t="s">
        <v>47</v>
      </c>
      <c r="AF5" s="1"/>
      <c r="AG5" s="1"/>
      <c r="AH5" s="1"/>
      <c r="AI5" s="1"/>
      <c r="AJ5" s="1">
        <v>1</v>
      </c>
      <c r="AK5" s="1">
        <v>1</v>
      </c>
      <c r="AL5" s="1" t="s">
        <v>56</v>
      </c>
      <c r="AM5" s="1" t="s">
        <v>49</v>
      </c>
      <c r="AN5" s="1"/>
      <c r="AO5" s="1" t="s">
        <v>50</v>
      </c>
      <c r="AP5" s="1">
        <v>59.998764020000003</v>
      </c>
      <c r="AQ5" s="1" t="s">
        <v>57</v>
      </c>
      <c r="AR5" s="1"/>
      <c r="AS5" s="1"/>
      <c r="AT5" s="1"/>
    </row>
    <row r="6" spans="1:46" x14ac:dyDescent="0.35">
      <c r="A6" s="1" t="s">
        <v>52</v>
      </c>
      <c r="B6" s="1" t="s">
        <v>53</v>
      </c>
      <c r="C6" s="1" t="s">
        <v>45</v>
      </c>
      <c r="D6" s="1" t="s">
        <v>54</v>
      </c>
      <c r="E6" s="1">
        <v>9</v>
      </c>
      <c r="F6" s="1">
        <v>1</v>
      </c>
      <c r="G6" s="1">
        <v>2</v>
      </c>
      <c r="H6" s="1" t="s">
        <v>54</v>
      </c>
      <c r="I6" s="1">
        <v>1</v>
      </c>
      <c r="J6" s="1">
        <v>0.37071799999999999</v>
      </c>
      <c r="K6" s="1" t="s">
        <v>47</v>
      </c>
      <c r="L6" s="1">
        <v>2</v>
      </c>
      <c r="M6" s="1">
        <v>1</v>
      </c>
      <c r="N6" s="1">
        <v>9</v>
      </c>
      <c r="O6" s="1">
        <v>3</v>
      </c>
      <c r="P6" s="1">
        <v>10.9901664</v>
      </c>
      <c r="Q6" s="1"/>
      <c r="R6" s="1"/>
      <c r="S6" s="1"/>
      <c r="T6" s="1"/>
      <c r="U6" s="1"/>
      <c r="V6" s="1">
        <v>10.9773362</v>
      </c>
      <c r="W6" s="1">
        <v>10.9901664</v>
      </c>
      <c r="X6" s="1">
        <v>11.473228000000001</v>
      </c>
      <c r="Y6" s="1">
        <v>11.473228000000001</v>
      </c>
      <c r="Z6" s="1">
        <v>11.473228000000001</v>
      </c>
      <c r="AA6" s="1">
        <v>11.8574328</v>
      </c>
      <c r="AB6" s="1" t="s">
        <v>54</v>
      </c>
      <c r="AC6" s="1">
        <v>1</v>
      </c>
      <c r="AD6" s="1">
        <v>0.37071799999999999</v>
      </c>
      <c r="AE6" s="1" t="s">
        <v>47</v>
      </c>
      <c r="AF6" s="1"/>
      <c r="AG6" s="1"/>
      <c r="AH6" s="1"/>
      <c r="AI6" s="1"/>
      <c r="AJ6" s="1">
        <v>1</v>
      </c>
      <c r="AK6" s="1">
        <v>1</v>
      </c>
      <c r="AL6" s="1" t="s">
        <v>56</v>
      </c>
      <c r="AM6" s="1" t="s">
        <v>49</v>
      </c>
      <c r="AN6" s="1"/>
      <c r="AO6" s="1" t="s">
        <v>50</v>
      </c>
      <c r="AP6" s="1">
        <v>59.998764020000003</v>
      </c>
      <c r="AQ6" s="1" t="s">
        <v>57</v>
      </c>
      <c r="AR6" s="1"/>
      <c r="AS6" s="1"/>
      <c r="AT6" s="1"/>
    </row>
    <row r="7" spans="1:46" x14ac:dyDescent="0.35">
      <c r="A7" s="1" t="s">
        <v>43</v>
      </c>
      <c r="B7" s="1" t="s">
        <v>44</v>
      </c>
      <c r="C7" s="1" t="s">
        <v>45</v>
      </c>
      <c r="D7" s="1" t="s">
        <v>46</v>
      </c>
      <c r="E7" s="1">
        <v>11</v>
      </c>
      <c r="F7" s="1">
        <v>3</v>
      </c>
      <c r="G7" s="1">
        <v>2</v>
      </c>
      <c r="H7" s="1" t="s">
        <v>46</v>
      </c>
      <c r="I7" s="1">
        <v>1</v>
      </c>
      <c r="J7" s="1">
        <v>0.3708457</v>
      </c>
      <c r="K7" s="1" t="s">
        <v>47</v>
      </c>
      <c r="L7" s="1">
        <v>2</v>
      </c>
      <c r="M7" s="1">
        <v>3</v>
      </c>
      <c r="N7" s="1">
        <v>11</v>
      </c>
      <c r="O7" s="1">
        <v>0</v>
      </c>
      <c r="P7" s="1">
        <v>12.9565704</v>
      </c>
      <c r="Q7" s="1"/>
      <c r="R7" s="1"/>
      <c r="S7" s="1"/>
      <c r="T7" s="1"/>
      <c r="U7" s="1"/>
      <c r="V7" s="1">
        <v>12.9424598</v>
      </c>
      <c r="W7" s="1">
        <v>12.9565704</v>
      </c>
      <c r="X7" s="1">
        <v>13.440163</v>
      </c>
      <c r="Y7" s="1">
        <v>13.440163</v>
      </c>
      <c r="Z7" s="1">
        <v>13.440163</v>
      </c>
      <c r="AA7" s="1">
        <v>13.8247292</v>
      </c>
      <c r="AB7" s="1" t="s">
        <v>46</v>
      </c>
      <c r="AC7" s="1">
        <v>1</v>
      </c>
      <c r="AD7" s="1">
        <v>0.3708457</v>
      </c>
      <c r="AE7" s="1" t="s">
        <v>47</v>
      </c>
      <c r="AF7" s="1"/>
      <c r="AG7" s="1"/>
      <c r="AH7" s="1"/>
      <c r="AI7" s="1"/>
      <c r="AJ7" s="1">
        <v>1</v>
      </c>
      <c r="AK7" s="1">
        <v>1</v>
      </c>
      <c r="AL7" s="1" t="s">
        <v>56</v>
      </c>
      <c r="AM7" s="1" t="s">
        <v>49</v>
      </c>
      <c r="AN7" s="1"/>
      <c r="AO7" s="1" t="s">
        <v>50</v>
      </c>
      <c r="AP7" s="1">
        <v>59.998764020000003</v>
      </c>
      <c r="AQ7" s="1" t="s">
        <v>57</v>
      </c>
      <c r="AR7" s="1"/>
      <c r="AS7" s="1"/>
      <c r="AT7" s="1"/>
    </row>
    <row r="8" spans="1:46" x14ac:dyDescent="0.35">
      <c r="A8" s="1" t="s">
        <v>43</v>
      </c>
      <c r="B8" s="1" t="s">
        <v>44</v>
      </c>
      <c r="C8" s="1" t="s">
        <v>45</v>
      </c>
      <c r="D8" s="1" t="s">
        <v>46</v>
      </c>
      <c r="E8" s="1">
        <v>13</v>
      </c>
      <c r="F8" s="1">
        <v>1</v>
      </c>
      <c r="G8" s="1">
        <v>3</v>
      </c>
      <c r="H8" s="1" t="s">
        <v>46</v>
      </c>
      <c r="I8" s="1">
        <v>1</v>
      </c>
      <c r="J8" s="1">
        <v>0.58244890000000005</v>
      </c>
      <c r="K8" s="1" t="s">
        <v>47</v>
      </c>
      <c r="L8" s="1">
        <v>3</v>
      </c>
      <c r="M8" s="1">
        <v>1</v>
      </c>
      <c r="N8" s="1">
        <v>13</v>
      </c>
      <c r="O8" s="1">
        <v>0</v>
      </c>
      <c r="P8" s="1">
        <v>14.840176899999999</v>
      </c>
      <c r="Q8" s="1"/>
      <c r="R8" s="1"/>
      <c r="S8" s="1"/>
      <c r="T8" s="1"/>
      <c r="U8" s="1"/>
      <c r="V8" s="1">
        <v>14.825590999999999</v>
      </c>
      <c r="W8" s="1">
        <v>14.840176899999999</v>
      </c>
      <c r="X8" s="1">
        <v>15.3231483</v>
      </c>
      <c r="Y8" s="1">
        <v>15.3231483</v>
      </c>
      <c r="Z8" s="1">
        <v>15.3231483</v>
      </c>
      <c r="AA8" s="1">
        <v>15.9074881</v>
      </c>
      <c r="AB8" s="1" t="s">
        <v>46</v>
      </c>
      <c r="AC8" s="1">
        <v>1</v>
      </c>
      <c r="AD8" s="1">
        <v>0.58244890000000005</v>
      </c>
      <c r="AE8" s="1" t="s">
        <v>47</v>
      </c>
      <c r="AF8" s="1"/>
      <c r="AG8" s="1"/>
      <c r="AH8" s="1"/>
      <c r="AI8" s="1"/>
      <c r="AJ8" s="1">
        <v>1</v>
      </c>
      <c r="AK8" s="1">
        <v>1</v>
      </c>
      <c r="AL8" s="1" t="s">
        <v>56</v>
      </c>
      <c r="AM8" s="1" t="s">
        <v>49</v>
      </c>
      <c r="AN8" s="1"/>
      <c r="AO8" s="1" t="s">
        <v>50</v>
      </c>
      <c r="AP8" s="1">
        <v>59.998764020000003</v>
      </c>
      <c r="AQ8" s="1" t="s">
        <v>57</v>
      </c>
      <c r="AR8" s="1"/>
      <c r="AS8" s="1"/>
      <c r="AT8" s="1"/>
    </row>
    <row r="9" spans="1:46" x14ac:dyDescent="0.35">
      <c r="A9" s="1" t="s">
        <v>52</v>
      </c>
      <c r="B9" s="1" t="s">
        <v>53</v>
      </c>
      <c r="C9" s="1" t="s">
        <v>45</v>
      </c>
      <c r="D9" s="1" t="s">
        <v>54</v>
      </c>
      <c r="E9" s="1">
        <v>15</v>
      </c>
      <c r="F9" s="1">
        <v>3</v>
      </c>
      <c r="G9" s="1">
        <v>3</v>
      </c>
      <c r="H9" s="1" t="s">
        <v>54</v>
      </c>
      <c r="I9" s="1">
        <v>1</v>
      </c>
      <c r="J9" s="1">
        <v>0.44193769999999999</v>
      </c>
      <c r="K9" s="1" t="s">
        <v>47</v>
      </c>
      <c r="L9" s="1">
        <v>3</v>
      </c>
      <c r="M9" s="1">
        <v>3</v>
      </c>
      <c r="N9" s="1">
        <v>15</v>
      </c>
      <c r="O9" s="1">
        <v>3</v>
      </c>
      <c r="P9" s="1">
        <v>17.023011400000001</v>
      </c>
      <c r="Q9" s="1"/>
      <c r="R9" s="1"/>
      <c r="S9" s="1"/>
      <c r="T9" s="1"/>
      <c r="U9" s="1"/>
      <c r="V9" s="1">
        <v>17.007891399999998</v>
      </c>
      <c r="W9" s="1">
        <v>17.023011400000001</v>
      </c>
      <c r="X9" s="1">
        <v>17.506406699999999</v>
      </c>
      <c r="Y9" s="1">
        <v>17.506406699999999</v>
      </c>
      <c r="Z9" s="1">
        <v>17.506406699999999</v>
      </c>
      <c r="AA9" s="1">
        <v>17.957177399999999</v>
      </c>
      <c r="AB9" s="1" t="s">
        <v>54</v>
      </c>
      <c r="AC9" s="1">
        <v>1</v>
      </c>
      <c r="AD9" s="1">
        <v>0.44193769999999999</v>
      </c>
      <c r="AE9" s="1" t="s">
        <v>47</v>
      </c>
      <c r="AF9" s="1"/>
      <c r="AG9" s="1"/>
      <c r="AH9" s="1"/>
      <c r="AI9" s="1"/>
      <c r="AJ9" s="1">
        <v>1</v>
      </c>
      <c r="AK9" s="1">
        <v>1</v>
      </c>
      <c r="AL9" s="1" t="s">
        <v>56</v>
      </c>
      <c r="AM9" s="1" t="s">
        <v>49</v>
      </c>
      <c r="AN9" s="1"/>
      <c r="AO9" s="1" t="s">
        <v>50</v>
      </c>
      <c r="AP9" s="1">
        <v>59.998764020000003</v>
      </c>
      <c r="AQ9" s="1" t="s">
        <v>57</v>
      </c>
      <c r="AR9" s="1"/>
      <c r="AS9" s="1"/>
      <c r="AT9" s="1"/>
    </row>
    <row r="10" spans="1:46" x14ac:dyDescent="0.35">
      <c r="A10" s="1" t="s">
        <v>52</v>
      </c>
      <c r="B10" s="1" t="s">
        <v>53</v>
      </c>
      <c r="C10" s="1" t="s">
        <v>45</v>
      </c>
      <c r="D10" s="1" t="s">
        <v>54</v>
      </c>
      <c r="E10" s="1">
        <v>18</v>
      </c>
      <c r="F10" s="1">
        <v>2</v>
      </c>
      <c r="G10" s="1">
        <v>4</v>
      </c>
      <c r="H10" s="1" t="s">
        <v>54</v>
      </c>
      <c r="I10" s="1">
        <v>1</v>
      </c>
      <c r="J10" s="1">
        <v>0.3769845</v>
      </c>
      <c r="K10" s="1" t="s">
        <v>47</v>
      </c>
      <c r="L10" s="1">
        <v>4</v>
      </c>
      <c r="M10" s="1">
        <v>2</v>
      </c>
      <c r="N10" s="1">
        <v>18</v>
      </c>
      <c r="O10" s="1">
        <v>3</v>
      </c>
      <c r="P10" s="1">
        <v>19.806392899999999</v>
      </c>
      <c r="Q10" s="1"/>
      <c r="R10" s="1"/>
      <c r="S10" s="1"/>
      <c r="T10" s="1"/>
      <c r="U10" s="1"/>
      <c r="V10" s="1">
        <v>19.7909465</v>
      </c>
      <c r="W10" s="1">
        <v>19.806392899999999</v>
      </c>
      <c r="X10" s="1">
        <v>20.289687199999999</v>
      </c>
      <c r="Y10" s="1">
        <v>20.289687199999999</v>
      </c>
      <c r="Z10" s="1">
        <v>20.289687199999999</v>
      </c>
      <c r="AA10" s="1">
        <v>20.673398599999999</v>
      </c>
      <c r="AB10" s="1" t="s">
        <v>54</v>
      </c>
      <c r="AC10" s="1">
        <v>1</v>
      </c>
      <c r="AD10" s="1">
        <v>0.3769845</v>
      </c>
      <c r="AE10" s="1" t="s">
        <v>47</v>
      </c>
      <c r="AF10" s="1"/>
      <c r="AG10" s="1"/>
      <c r="AH10" s="1"/>
      <c r="AI10" s="1"/>
      <c r="AJ10" s="1">
        <v>1</v>
      </c>
      <c r="AK10" s="1">
        <v>1</v>
      </c>
      <c r="AL10" s="1" t="s">
        <v>56</v>
      </c>
      <c r="AM10" s="1" t="s">
        <v>49</v>
      </c>
      <c r="AN10" s="1"/>
      <c r="AO10" s="1" t="s">
        <v>50</v>
      </c>
      <c r="AP10" s="1">
        <v>59.998764020000003</v>
      </c>
      <c r="AQ10" s="1" t="s">
        <v>57</v>
      </c>
      <c r="AR10" s="1"/>
      <c r="AS10" s="1"/>
      <c r="AT10" s="1"/>
    </row>
    <row r="11" spans="1:46" x14ac:dyDescent="0.35">
      <c r="A11" s="1" t="s">
        <v>43</v>
      </c>
      <c r="B11" s="1" t="s">
        <v>44</v>
      </c>
      <c r="C11" s="1" t="s">
        <v>45</v>
      </c>
      <c r="D11" s="1" t="s">
        <v>46</v>
      </c>
      <c r="E11" s="1">
        <v>19</v>
      </c>
      <c r="F11" s="1">
        <v>3</v>
      </c>
      <c r="G11" s="1">
        <v>4</v>
      </c>
      <c r="H11" s="1" t="s">
        <v>46</v>
      </c>
      <c r="I11" s="1">
        <v>1</v>
      </c>
      <c r="J11" s="1">
        <v>0.45421729999999999</v>
      </c>
      <c r="K11" s="1" t="s">
        <v>47</v>
      </c>
      <c r="L11" s="1">
        <v>4</v>
      </c>
      <c r="M11" s="1">
        <v>3</v>
      </c>
      <c r="N11" s="1">
        <v>19</v>
      </c>
      <c r="O11" s="1">
        <v>0</v>
      </c>
      <c r="P11" s="1">
        <v>20.689572200000001</v>
      </c>
      <c r="Q11" s="1"/>
      <c r="R11" s="1"/>
      <c r="S11" s="1"/>
      <c r="T11" s="1"/>
      <c r="U11" s="1"/>
      <c r="V11" s="1">
        <v>20.6770712</v>
      </c>
      <c r="W11" s="1">
        <v>20.689572200000001</v>
      </c>
      <c r="X11" s="1">
        <v>21.172954399999998</v>
      </c>
      <c r="Y11" s="1">
        <v>21.172954399999998</v>
      </c>
      <c r="Z11" s="1">
        <v>21.172954399999998</v>
      </c>
      <c r="AA11" s="1">
        <v>21.6401027</v>
      </c>
      <c r="AB11" s="1" t="s">
        <v>46</v>
      </c>
      <c r="AC11" s="1">
        <v>1</v>
      </c>
      <c r="AD11" s="1">
        <v>0.45421729999999999</v>
      </c>
      <c r="AE11" s="1" t="s">
        <v>47</v>
      </c>
      <c r="AF11" s="1"/>
      <c r="AG11" s="1"/>
      <c r="AH11" s="1"/>
      <c r="AI11" s="1"/>
      <c r="AJ11" s="1">
        <v>1</v>
      </c>
      <c r="AK11" s="1">
        <v>1</v>
      </c>
      <c r="AL11" s="1" t="s">
        <v>56</v>
      </c>
      <c r="AM11" s="1" t="s">
        <v>49</v>
      </c>
      <c r="AN11" s="1"/>
      <c r="AO11" s="1" t="s">
        <v>50</v>
      </c>
      <c r="AP11" s="1">
        <v>59.998764020000003</v>
      </c>
      <c r="AQ11" s="1" t="s">
        <v>57</v>
      </c>
      <c r="AR11" s="1"/>
      <c r="AS11" s="1"/>
      <c r="AT11" s="1"/>
    </row>
    <row r="12" spans="1:46" x14ac:dyDescent="0.35">
      <c r="A12" s="1" t="s">
        <v>52</v>
      </c>
      <c r="B12" s="1" t="s">
        <v>53</v>
      </c>
      <c r="C12" s="1" t="s">
        <v>45</v>
      </c>
      <c r="D12" s="1" t="s">
        <v>54</v>
      </c>
      <c r="E12" s="1">
        <v>21</v>
      </c>
      <c r="F12" s="1">
        <v>1</v>
      </c>
      <c r="G12" s="1">
        <v>5</v>
      </c>
      <c r="H12" s="1" t="s">
        <v>54</v>
      </c>
      <c r="I12" s="1">
        <v>1</v>
      </c>
      <c r="J12" s="1">
        <v>0.52580199999999999</v>
      </c>
      <c r="K12" s="1" t="s">
        <v>47</v>
      </c>
      <c r="L12" s="1">
        <v>5</v>
      </c>
      <c r="M12" s="1">
        <v>1</v>
      </c>
      <c r="N12" s="1">
        <v>21</v>
      </c>
      <c r="O12" s="1">
        <v>3</v>
      </c>
      <c r="P12" s="1">
        <v>22.589587099999999</v>
      </c>
      <c r="Q12" s="1"/>
      <c r="R12" s="1"/>
      <c r="S12" s="1"/>
      <c r="T12" s="1"/>
      <c r="U12" s="1"/>
      <c r="V12" s="1">
        <v>22.574184500000001</v>
      </c>
      <c r="W12" s="1">
        <v>22.589587099999999</v>
      </c>
      <c r="X12" s="1">
        <v>23.072839900000002</v>
      </c>
      <c r="Y12" s="1">
        <v>23.072839900000002</v>
      </c>
      <c r="Z12" s="1">
        <v>23.072839900000002</v>
      </c>
      <c r="AA12" s="1">
        <v>23.6066389</v>
      </c>
      <c r="AB12" s="1" t="s">
        <v>54</v>
      </c>
      <c r="AC12" s="1">
        <v>1</v>
      </c>
      <c r="AD12" s="1">
        <v>0.52580199999999999</v>
      </c>
      <c r="AE12" s="1" t="s">
        <v>47</v>
      </c>
      <c r="AF12" s="1"/>
      <c r="AG12" s="1"/>
      <c r="AH12" s="1"/>
      <c r="AI12" s="1"/>
      <c r="AJ12" s="1">
        <v>1</v>
      </c>
      <c r="AK12" s="1">
        <v>1</v>
      </c>
      <c r="AL12" s="1" t="s">
        <v>56</v>
      </c>
      <c r="AM12" s="1" t="s">
        <v>49</v>
      </c>
      <c r="AN12" s="1"/>
      <c r="AO12" s="1" t="s">
        <v>50</v>
      </c>
      <c r="AP12" s="1">
        <v>59.998764020000003</v>
      </c>
      <c r="AQ12" s="1" t="s">
        <v>57</v>
      </c>
      <c r="AR12" s="1"/>
      <c r="AS12" s="1"/>
      <c r="AT12" s="1"/>
    </row>
    <row r="13" spans="1:46" x14ac:dyDescent="0.35">
      <c r="A13" s="1" t="s">
        <v>43</v>
      </c>
      <c r="B13" s="1" t="s">
        <v>44</v>
      </c>
      <c r="C13" s="1" t="s">
        <v>45</v>
      </c>
      <c r="D13" s="1" t="s">
        <v>46</v>
      </c>
      <c r="E13" s="1">
        <v>22</v>
      </c>
      <c r="F13" s="1">
        <v>2</v>
      </c>
      <c r="G13" s="1">
        <v>5</v>
      </c>
      <c r="H13" s="1" t="s">
        <v>46</v>
      </c>
      <c r="I13" s="1">
        <v>1</v>
      </c>
      <c r="J13" s="1">
        <v>0.50107780000000002</v>
      </c>
      <c r="K13" s="1" t="s">
        <v>47</v>
      </c>
      <c r="L13" s="1">
        <v>5</v>
      </c>
      <c r="M13" s="1">
        <v>2</v>
      </c>
      <c r="N13" s="1">
        <v>22</v>
      </c>
      <c r="O13" s="1">
        <v>0</v>
      </c>
      <c r="P13" s="1">
        <v>23.622697299999999</v>
      </c>
      <c r="Q13" s="1"/>
      <c r="R13" s="1"/>
      <c r="S13" s="1"/>
      <c r="T13" s="1"/>
      <c r="U13" s="1"/>
      <c r="V13" s="1">
        <v>23.610344000000001</v>
      </c>
      <c r="W13" s="1">
        <v>23.622697299999999</v>
      </c>
      <c r="X13" s="1">
        <v>24.106076600000002</v>
      </c>
      <c r="Y13" s="1">
        <v>24.106076600000002</v>
      </c>
      <c r="Z13" s="1">
        <v>24.106076600000002</v>
      </c>
      <c r="AA13" s="1">
        <v>24.623330299999999</v>
      </c>
      <c r="AB13" s="1" t="s">
        <v>46</v>
      </c>
      <c r="AC13" s="1">
        <v>1</v>
      </c>
      <c r="AD13" s="1">
        <v>0.50107780000000002</v>
      </c>
      <c r="AE13" s="1" t="s">
        <v>47</v>
      </c>
      <c r="AF13" s="1"/>
      <c r="AG13" s="1"/>
      <c r="AH13" s="1"/>
      <c r="AI13" s="1"/>
      <c r="AJ13" s="1">
        <v>1</v>
      </c>
      <c r="AK13" s="1">
        <v>1</v>
      </c>
      <c r="AL13" s="1" t="s">
        <v>56</v>
      </c>
      <c r="AM13" s="1" t="s">
        <v>49</v>
      </c>
      <c r="AN13" s="1"/>
      <c r="AO13" s="1" t="s">
        <v>50</v>
      </c>
      <c r="AP13" s="1">
        <v>59.998764020000003</v>
      </c>
      <c r="AQ13" s="1" t="s">
        <v>57</v>
      </c>
      <c r="AR13" s="1"/>
      <c r="AS13" s="1"/>
      <c r="AT13" s="1"/>
    </row>
    <row r="14" spans="1:46" x14ac:dyDescent="0.35">
      <c r="A14" s="1" t="s">
        <v>43</v>
      </c>
      <c r="B14" s="1" t="s">
        <v>44</v>
      </c>
      <c r="C14" s="1" t="s">
        <v>45</v>
      </c>
      <c r="D14" s="1" t="s">
        <v>46</v>
      </c>
      <c r="E14" s="1">
        <v>24</v>
      </c>
      <c r="F14" s="1">
        <v>0</v>
      </c>
      <c r="G14" s="1">
        <v>6</v>
      </c>
      <c r="H14" s="1" t="s">
        <v>46</v>
      </c>
      <c r="I14" s="1">
        <v>1</v>
      </c>
      <c r="J14" s="1">
        <v>0.65899189999999996</v>
      </c>
      <c r="K14" s="1" t="s">
        <v>47</v>
      </c>
      <c r="L14" s="1">
        <v>6</v>
      </c>
      <c r="M14" s="1">
        <v>0</v>
      </c>
      <c r="N14" s="1">
        <v>24</v>
      </c>
      <c r="O14" s="1">
        <v>0</v>
      </c>
      <c r="P14" s="1">
        <v>25.706084799999999</v>
      </c>
      <c r="Q14" s="1"/>
      <c r="R14" s="1"/>
      <c r="S14" s="1"/>
      <c r="T14" s="1"/>
      <c r="U14" s="1"/>
      <c r="V14" s="1">
        <v>25.690702999999999</v>
      </c>
      <c r="W14" s="1">
        <v>25.706084799999999</v>
      </c>
      <c r="X14" s="1">
        <v>26.189560799999999</v>
      </c>
      <c r="Y14" s="1">
        <v>26.189560799999999</v>
      </c>
      <c r="Z14" s="1">
        <v>26.189560799999999</v>
      </c>
      <c r="AA14" s="1">
        <v>26.857285600000001</v>
      </c>
      <c r="AB14" s="1" t="s">
        <v>46</v>
      </c>
      <c r="AC14" s="1">
        <v>1</v>
      </c>
      <c r="AD14" s="1">
        <v>0.65899189999999996</v>
      </c>
      <c r="AE14" s="1" t="s">
        <v>47</v>
      </c>
      <c r="AF14" s="1"/>
      <c r="AG14" s="1"/>
      <c r="AH14" s="1"/>
      <c r="AI14" s="1"/>
      <c r="AJ14" s="1">
        <v>1</v>
      </c>
      <c r="AK14" s="1">
        <v>1</v>
      </c>
      <c r="AL14" s="1" t="s">
        <v>56</v>
      </c>
      <c r="AM14" s="1" t="s">
        <v>49</v>
      </c>
      <c r="AN14" s="1"/>
      <c r="AO14" s="1" t="s">
        <v>50</v>
      </c>
      <c r="AP14" s="1">
        <v>59.998764020000003</v>
      </c>
      <c r="AQ14" s="1" t="s">
        <v>57</v>
      </c>
      <c r="AR14" s="1"/>
      <c r="AS14" s="1"/>
      <c r="AT14" s="1"/>
    </row>
    <row r="15" spans="1:46" x14ac:dyDescent="0.35">
      <c r="A15" s="1" t="s">
        <v>52</v>
      </c>
      <c r="B15" s="1" t="s">
        <v>53</v>
      </c>
      <c r="C15" s="1" t="s">
        <v>45</v>
      </c>
      <c r="D15" s="1" t="s">
        <v>54</v>
      </c>
      <c r="E15" s="1">
        <v>25</v>
      </c>
      <c r="F15" s="1">
        <v>1</v>
      </c>
      <c r="G15" s="1">
        <v>6</v>
      </c>
      <c r="H15" s="1" t="s">
        <v>54</v>
      </c>
      <c r="I15" s="1">
        <v>1</v>
      </c>
      <c r="J15" s="1">
        <v>0.54448419999999997</v>
      </c>
      <c r="K15" s="1" t="s">
        <v>47</v>
      </c>
      <c r="L15" s="1">
        <v>6</v>
      </c>
      <c r="M15" s="1">
        <v>1</v>
      </c>
      <c r="N15" s="1">
        <v>25</v>
      </c>
      <c r="O15" s="1">
        <v>3</v>
      </c>
      <c r="P15" s="1">
        <v>26.872630699999998</v>
      </c>
      <c r="Q15" s="1"/>
      <c r="R15" s="1"/>
      <c r="S15" s="1"/>
      <c r="T15" s="1"/>
      <c r="U15" s="1"/>
      <c r="V15" s="1">
        <v>26.862983499999999</v>
      </c>
      <c r="W15" s="1">
        <v>26.872630699999998</v>
      </c>
      <c r="X15" s="1">
        <v>27.372637600000001</v>
      </c>
      <c r="Y15" s="1">
        <v>27.372637600000001</v>
      </c>
      <c r="Z15" s="1">
        <v>27.372637600000001</v>
      </c>
      <c r="AA15" s="1">
        <v>27.923379799999999</v>
      </c>
      <c r="AB15" s="1" t="s">
        <v>54</v>
      </c>
      <c r="AC15" s="1">
        <v>1</v>
      </c>
      <c r="AD15" s="1">
        <v>0.54448419999999997</v>
      </c>
      <c r="AE15" s="1" t="s">
        <v>47</v>
      </c>
      <c r="AF15" s="1"/>
      <c r="AG15" s="1"/>
      <c r="AH15" s="1"/>
      <c r="AI15" s="1"/>
      <c r="AJ15" s="1">
        <v>1</v>
      </c>
      <c r="AK15" s="1">
        <v>1</v>
      </c>
      <c r="AL15" s="1" t="s">
        <v>56</v>
      </c>
      <c r="AM15" s="1" t="s">
        <v>49</v>
      </c>
      <c r="AN15" s="1"/>
      <c r="AO15" s="1" t="s">
        <v>50</v>
      </c>
      <c r="AP15" s="1">
        <v>59.998764020000003</v>
      </c>
      <c r="AQ15" s="1" t="s">
        <v>57</v>
      </c>
      <c r="AR15" s="1"/>
      <c r="AS15" s="1"/>
      <c r="AT15" s="1"/>
    </row>
    <row r="16" spans="1:46" x14ac:dyDescent="0.35">
      <c r="A16" s="1" t="s">
        <v>43</v>
      </c>
      <c r="B16" s="1" t="s">
        <v>44</v>
      </c>
      <c r="C16" s="1" t="s">
        <v>45</v>
      </c>
      <c r="D16" s="1" t="s">
        <v>46</v>
      </c>
      <c r="E16" s="1">
        <v>30</v>
      </c>
      <c r="F16" s="1">
        <v>2</v>
      </c>
      <c r="G16" s="1">
        <v>7</v>
      </c>
      <c r="H16" s="1" t="s">
        <v>46</v>
      </c>
      <c r="I16" s="1">
        <v>1</v>
      </c>
      <c r="J16" s="1">
        <v>0.41897380000000001</v>
      </c>
      <c r="K16" s="1" t="s">
        <v>47</v>
      </c>
      <c r="L16" s="1">
        <v>7</v>
      </c>
      <c r="M16" s="1">
        <v>2</v>
      </c>
      <c r="N16" s="1">
        <v>30</v>
      </c>
      <c r="O16" s="1">
        <v>0</v>
      </c>
      <c r="P16" s="1">
        <v>32.1892177</v>
      </c>
      <c r="Q16" s="1"/>
      <c r="R16" s="1"/>
      <c r="S16" s="1"/>
      <c r="T16" s="1"/>
      <c r="U16" s="1"/>
      <c r="V16" s="1">
        <v>32.177159099999997</v>
      </c>
      <c r="W16" s="1">
        <v>32.1892177</v>
      </c>
      <c r="X16" s="1">
        <v>32.672452900000003</v>
      </c>
      <c r="Y16" s="1">
        <v>32.672452900000003</v>
      </c>
      <c r="Z16" s="1">
        <v>32.672452900000003</v>
      </c>
      <c r="AA16" s="1">
        <v>33.106618099999999</v>
      </c>
      <c r="AB16" s="1" t="s">
        <v>46</v>
      </c>
      <c r="AC16" s="1">
        <v>1</v>
      </c>
      <c r="AD16" s="1">
        <v>0.41897380000000001</v>
      </c>
      <c r="AE16" s="1" t="s">
        <v>47</v>
      </c>
      <c r="AF16" s="1"/>
      <c r="AG16" s="1"/>
      <c r="AH16" s="1"/>
      <c r="AI16" s="1"/>
      <c r="AJ16" s="1">
        <v>1</v>
      </c>
      <c r="AK16" s="1">
        <v>1</v>
      </c>
      <c r="AL16" s="1" t="s">
        <v>56</v>
      </c>
      <c r="AM16" s="1" t="s">
        <v>49</v>
      </c>
      <c r="AN16" s="1"/>
      <c r="AO16" s="1" t="s">
        <v>50</v>
      </c>
      <c r="AP16" s="1">
        <v>59.998764020000003</v>
      </c>
      <c r="AQ16" s="1" t="s">
        <v>57</v>
      </c>
      <c r="AR16" s="1"/>
      <c r="AS16" s="1"/>
      <c r="AT16" s="1"/>
    </row>
    <row r="17" spans="1:46" x14ac:dyDescent="0.35">
      <c r="A17" s="1" t="s">
        <v>52</v>
      </c>
      <c r="B17" s="1" t="s">
        <v>53</v>
      </c>
      <c r="C17" s="1" t="s">
        <v>45</v>
      </c>
      <c r="D17" s="1" t="s">
        <v>54</v>
      </c>
      <c r="E17" s="1">
        <v>31</v>
      </c>
      <c r="F17" s="1">
        <v>3</v>
      </c>
      <c r="G17" s="1">
        <v>7</v>
      </c>
      <c r="H17" s="1" t="s">
        <v>54</v>
      </c>
      <c r="I17" s="1">
        <v>1</v>
      </c>
      <c r="J17" s="1">
        <v>0.4487698</v>
      </c>
      <c r="K17" s="1" t="s">
        <v>47</v>
      </c>
      <c r="L17" s="1">
        <v>7</v>
      </c>
      <c r="M17" s="1">
        <v>3</v>
      </c>
      <c r="N17" s="1">
        <v>31</v>
      </c>
      <c r="O17" s="1">
        <v>3</v>
      </c>
      <c r="P17" s="1">
        <v>33.122345299999999</v>
      </c>
      <c r="Q17" s="1"/>
      <c r="R17" s="1"/>
      <c r="S17" s="1"/>
      <c r="T17" s="1"/>
      <c r="U17" s="1"/>
      <c r="V17" s="1">
        <v>33.110968900000003</v>
      </c>
      <c r="W17" s="1">
        <v>33.122345299999999</v>
      </c>
      <c r="X17" s="1">
        <v>33.605775999999999</v>
      </c>
      <c r="Y17" s="1">
        <v>33.605775999999999</v>
      </c>
      <c r="Z17" s="1">
        <v>33.605775999999999</v>
      </c>
      <c r="AA17" s="1">
        <v>34.0564654</v>
      </c>
      <c r="AB17" s="1" t="s">
        <v>54</v>
      </c>
      <c r="AC17" s="1">
        <v>1</v>
      </c>
      <c r="AD17" s="1">
        <v>0.4487698</v>
      </c>
      <c r="AE17" s="1" t="s">
        <v>47</v>
      </c>
      <c r="AF17" s="1"/>
      <c r="AG17" s="1"/>
      <c r="AH17" s="1"/>
      <c r="AI17" s="1"/>
      <c r="AJ17" s="1">
        <v>1</v>
      </c>
      <c r="AK17" s="1">
        <v>1</v>
      </c>
      <c r="AL17" s="1" t="s">
        <v>56</v>
      </c>
      <c r="AM17" s="1" t="s">
        <v>49</v>
      </c>
      <c r="AN17" s="1"/>
      <c r="AO17" s="1" t="s">
        <v>50</v>
      </c>
      <c r="AP17" s="1">
        <v>59.998764020000003</v>
      </c>
      <c r="AQ17" s="1" t="s">
        <v>57</v>
      </c>
      <c r="AR17" s="1"/>
      <c r="AS17" s="1"/>
      <c r="AT17" s="1"/>
    </row>
    <row r="18" spans="1:46" x14ac:dyDescent="0.35">
      <c r="A18" s="1" t="s">
        <v>52</v>
      </c>
      <c r="B18" s="1" t="s">
        <v>53</v>
      </c>
      <c r="C18" s="1" t="s">
        <v>45</v>
      </c>
      <c r="D18" s="1" t="s">
        <v>54</v>
      </c>
      <c r="E18" s="1">
        <v>33</v>
      </c>
      <c r="F18" s="1">
        <v>1</v>
      </c>
      <c r="G18" s="1">
        <v>8</v>
      </c>
      <c r="H18" s="1" t="s">
        <v>54</v>
      </c>
      <c r="I18" s="1">
        <v>1</v>
      </c>
      <c r="J18" s="1">
        <v>0.33396100000000001</v>
      </c>
      <c r="K18" s="1" t="s">
        <v>47</v>
      </c>
      <c r="L18" s="1">
        <v>8</v>
      </c>
      <c r="M18" s="1">
        <v>1</v>
      </c>
      <c r="N18" s="1">
        <v>33</v>
      </c>
      <c r="O18" s="1">
        <v>3</v>
      </c>
      <c r="P18" s="1">
        <v>34.955683000000001</v>
      </c>
      <c r="Q18" s="1"/>
      <c r="R18" s="1"/>
      <c r="S18" s="1"/>
      <c r="T18" s="1"/>
      <c r="U18" s="1"/>
      <c r="V18" s="1">
        <v>34.945043900000002</v>
      </c>
      <c r="W18" s="1">
        <v>34.955683000000001</v>
      </c>
      <c r="X18" s="1">
        <v>35.439117299999999</v>
      </c>
      <c r="Y18" s="1">
        <v>35.439117299999999</v>
      </c>
      <c r="Z18" s="1">
        <v>35.439117299999999</v>
      </c>
      <c r="AA18" s="1">
        <v>35.7897739</v>
      </c>
      <c r="AB18" s="1" t="s">
        <v>54</v>
      </c>
      <c r="AC18" s="1">
        <v>1</v>
      </c>
      <c r="AD18" s="1">
        <v>0.33396100000000001</v>
      </c>
      <c r="AE18" s="1" t="s">
        <v>47</v>
      </c>
      <c r="AF18" s="1"/>
      <c r="AG18" s="1"/>
      <c r="AH18" s="1"/>
      <c r="AI18" s="1"/>
      <c r="AJ18" s="1">
        <v>1</v>
      </c>
      <c r="AK18" s="1">
        <v>1</v>
      </c>
      <c r="AL18" s="1" t="s">
        <v>56</v>
      </c>
      <c r="AM18" s="1" t="s">
        <v>49</v>
      </c>
      <c r="AN18" s="1"/>
      <c r="AO18" s="1" t="s">
        <v>50</v>
      </c>
      <c r="AP18" s="1">
        <v>59.998764020000003</v>
      </c>
      <c r="AQ18" s="1" t="s">
        <v>57</v>
      </c>
      <c r="AR18" s="1"/>
      <c r="AS18" s="1"/>
      <c r="AT18" s="1"/>
    </row>
    <row r="19" spans="1:46" x14ac:dyDescent="0.35">
      <c r="A19" s="1" t="s">
        <v>43</v>
      </c>
      <c r="B19" s="1" t="s">
        <v>44</v>
      </c>
      <c r="C19" s="1" t="s">
        <v>45</v>
      </c>
      <c r="D19" s="1" t="s">
        <v>46</v>
      </c>
      <c r="E19" s="1">
        <v>35</v>
      </c>
      <c r="F19" s="1">
        <v>3</v>
      </c>
      <c r="G19" s="1">
        <v>8</v>
      </c>
      <c r="H19" s="1" t="s">
        <v>46</v>
      </c>
      <c r="I19" s="1">
        <v>1</v>
      </c>
      <c r="J19" s="1">
        <v>0.35243069999999999</v>
      </c>
      <c r="K19" s="1" t="s">
        <v>47</v>
      </c>
      <c r="L19" s="1">
        <v>8</v>
      </c>
      <c r="M19" s="1">
        <v>3</v>
      </c>
      <c r="N19" s="1">
        <v>35</v>
      </c>
      <c r="O19" s="1">
        <v>0</v>
      </c>
      <c r="P19" s="1">
        <v>36.8055697</v>
      </c>
      <c r="Q19" s="1"/>
      <c r="R19" s="1"/>
      <c r="S19" s="1"/>
      <c r="T19" s="1"/>
      <c r="U19" s="1"/>
      <c r="V19" s="1">
        <v>36.7937066</v>
      </c>
      <c r="W19" s="1">
        <v>36.8055697</v>
      </c>
      <c r="X19" s="1">
        <v>37.289002500000002</v>
      </c>
      <c r="Y19" s="1">
        <v>37.289002500000002</v>
      </c>
      <c r="Z19" s="1">
        <v>37.289002500000002</v>
      </c>
      <c r="AA19" s="1">
        <v>37.6568063</v>
      </c>
      <c r="AB19" s="1" t="s">
        <v>46</v>
      </c>
      <c r="AC19" s="1">
        <v>1</v>
      </c>
      <c r="AD19" s="1">
        <v>0.35243069999999999</v>
      </c>
      <c r="AE19" s="1" t="s">
        <v>47</v>
      </c>
      <c r="AF19" s="1"/>
      <c r="AG19" s="1"/>
      <c r="AH19" s="1"/>
      <c r="AI19" s="1"/>
      <c r="AJ19" s="1">
        <v>1</v>
      </c>
      <c r="AK19" s="1">
        <v>1</v>
      </c>
      <c r="AL19" s="1" t="s">
        <v>56</v>
      </c>
      <c r="AM19" s="1" t="s">
        <v>49</v>
      </c>
      <c r="AN19" s="1"/>
      <c r="AO19" s="1" t="s">
        <v>50</v>
      </c>
      <c r="AP19" s="1">
        <v>59.998764020000003</v>
      </c>
      <c r="AQ19" s="1" t="s">
        <v>57</v>
      </c>
      <c r="AR19" s="1"/>
      <c r="AS19" s="1"/>
      <c r="AT19" s="1"/>
    </row>
    <row r="20" spans="1:46" x14ac:dyDescent="0.35">
      <c r="A20" s="1" t="s">
        <v>52</v>
      </c>
      <c r="B20" s="1" t="s">
        <v>53</v>
      </c>
      <c r="C20" s="1" t="s">
        <v>45</v>
      </c>
      <c r="D20" s="1" t="s">
        <v>54</v>
      </c>
      <c r="E20" s="1">
        <v>37</v>
      </c>
      <c r="F20" s="1">
        <v>1</v>
      </c>
      <c r="G20" s="1">
        <v>9</v>
      </c>
      <c r="H20" s="1" t="s">
        <v>54</v>
      </c>
      <c r="I20" s="1">
        <v>1</v>
      </c>
      <c r="J20" s="1">
        <v>0.33703620000000001</v>
      </c>
      <c r="K20" s="1" t="s">
        <v>47</v>
      </c>
      <c r="L20" s="1">
        <v>9</v>
      </c>
      <c r="M20" s="1">
        <v>1</v>
      </c>
      <c r="N20" s="1">
        <v>37</v>
      </c>
      <c r="O20" s="1">
        <v>3</v>
      </c>
      <c r="P20" s="1">
        <v>38.855701799999999</v>
      </c>
      <c r="Q20" s="1"/>
      <c r="R20" s="1"/>
      <c r="S20" s="1"/>
      <c r="T20" s="1"/>
      <c r="U20" s="1"/>
      <c r="V20" s="1">
        <v>38.843601999999997</v>
      </c>
      <c r="W20" s="1">
        <v>38.855701799999999</v>
      </c>
      <c r="X20" s="1">
        <v>39.338842800000002</v>
      </c>
      <c r="Y20" s="1">
        <v>39.338842800000002</v>
      </c>
      <c r="Z20" s="1">
        <v>39.338842800000002</v>
      </c>
      <c r="AA20" s="1">
        <v>39.6896816</v>
      </c>
      <c r="AB20" s="1" t="s">
        <v>54</v>
      </c>
      <c r="AC20" s="1">
        <v>1</v>
      </c>
      <c r="AD20" s="1">
        <v>0.33703620000000001</v>
      </c>
      <c r="AE20" s="1" t="s">
        <v>47</v>
      </c>
      <c r="AF20" s="1"/>
      <c r="AG20" s="1"/>
      <c r="AH20" s="1"/>
      <c r="AI20" s="1"/>
      <c r="AJ20" s="1">
        <v>1</v>
      </c>
      <c r="AK20" s="1">
        <v>1</v>
      </c>
      <c r="AL20" s="1" t="s">
        <v>56</v>
      </c>
      <c r="AM20" s="1" t="s">
        <v>49</v>
      </c>
      <c r="AN20" s="1"/>
      <c r="AO20" s="1" t="s">
        <v>50</v>
      </c>
      <c r="AP20" s="1">
        <v>59.998764020000003</v>
      </c>
      <c r="AQ20" s="1" t="s">
        <v>57</v>
      </c>
      <c r="AR20" s="1"/>
      <c r="AS20" s="1"/>
      <c r="AT20" s="1"/>
    </row>
    <row r="21" spans="1:46" x14ac:dyDescent="0.35">
      <c r="A21" s="1" t="s">
        <v>43</v>
      </c>
      <c r="B21" s="1" t="s">
        <v>44</v>
      </c>
      <c r="C21" s="1" t="s">
        <v>45</v>
      </c>
      <c r="D21" s="1" t="s">
        <v>46</v>
      </c>
      <c r="E21" s="1">
        <v>38</v>
      </c>
      <c r="F21" s="1">
        <v>2</v>
      </c>
      <c r="G21" s="1">
        <v>9</v>
      </c>
      <c r="H21" s="1" t="s">
        <v>46</v>
      </c>
      <c r="I21" s="1">
        <v>1</v>
      </c>
      <c r="J21" s="1">
        <v>0.54122999999999999</v>
      </c>
      <c r="K21" s="1" t="s">
        <v>47</v>
      </c>
      <c r="L21" s="1">
        <v>9</v>
      </c>
      <c r="M21" s="1">
        <v>2</v>
      </c>
      <c r="N21" s="1">
        <v>38</v>
      </c>
      <c r="O21" s="1">
        <v>0</v>
      </c>
      <c r="P21" s="1">
        <v>39.7055924</v>
      </c>
      <c r="Q21" s="1"/>
      <c r="R21" s="1"/>
      <c r="S21" s="1"/>
      <c r="T21" s="1"/>
      <c r="U21" s="1"/>
      <c r="V21" s="1">
        <v>39.693263299999998</v>
      </c>
      <c r="W21" s="1">
        <v>39.7055924</v>
      </c>
      <c r="X21" s="1">
        <v>40.205391300000002</v>
      </c>
      <c r="Y21" s="1">
        <v>40.205391300000002</v>
      </c>
      <c r="Z21" s="1">
        <v>40.205391300000002</v>
      </c>
      <c r="AA21" s="1">
        <v>40.756108500000003</v>
      </c>
      <c r="AB21" s="1" t="s">
        <v>46</v>
      </c>
      <c r="AC21" s="1">
        <v>1</v>
      </c>
      <c r="AD21" s="1">
        <v>0.54122999999999999</v>
      </c>
      <c r="AE21" s="1" t="s">
        <v>47</v>
      </c>
      <c r="AF21" s="1"/>
      <c r="AG21" s="1"/>
      <c r="AH21" s="1"/>
      <c r="AI21" s="1"/>
      <c r="AJ21" s="1">
        <v>1</v>
      </c>
      <c r="AK21" s="1">
        <v>1</v>
      </c>
      <c r="AL21" s="1" t="s">
        <v>56</v>
      </c>
      <c r="AM21" s="1" t="s">
        <v>49</v>
      </c>
      <c r="AN21" s="1"/>
      <c r="AO21" s="1" t="s">
        <v>50</v>
      </c>
      <c r="AP21" s="1">
        <v>59.998764020000003</v>
      </c>
      <c r="AQ21" s="1" t="s">
        <v>57</v>
      </c>
      <c r="AR21" s="1"/>
      <c r="AS21" s="1"/>
      <c r="AT21" s="1"/>
    </row>
    <row r="22" spans="1:46" x14ac:dyDescent="0.35">
      <c r="A22" s="1" t="s">
        <v>43</v>
      </c>
      <c r="B22" s="1" t="s">
        <v>53</v>
      </c>
      <c r="C22" s="1" t="s">
        <v>55</v>
      </c>
      <c r="D22" s="1" t="s">
        <v>54</v>
      </c>
      <c r="E22" s="1">
        <v>0</v>
      </c>
      <c r="F22" s="1">
        <v>0</v>
      </c>
      <c r="G22" s="1">
        <v>0</v>
      </c>
      <c r="H22" s="1" t="s">
        <v>54</v>
      </c>
      <c r="I22" s="1">
        <v>1</v>
      </c>
      <c r="J22" s="1">
        <v>0.78901849999999996</v>
      </c>
      <c r="K22" s="1" t="s">
        <v>47</v>
      </c>
      <c r="L22" s="1">
        <v>0</v>
      </c>
      <c r="M22" s="1">
        <v>0</v>
      </c>
      <c r="N22" s="1">
        <v>0</v>
      </c>
      <c r="O22" s="1">
        <v>1</v>
      </c>
      <c r="P22" s="1">
        <v>2.0090457000000002</v>
      </c>
      <c r="Q22" s="1"/>
      <c r="R22" s="1"/>
      <c r="S22" s="1"/>
      <c r="T22" s="1"/>
      <c r="U22" s="1"/>
      <c r="V22" s="1">
        <v>2.0060134000000001</v>
      </c>
      <c r="W22" s="1">
        <v>2.0090457000000002</v>
      </c>
      <c r="X22" s="1">
        <v>2.5070960000000002</v>
      </c>
      <c r="Y22" s="1">
        <v>2.5070960000000002</v>
      </c>
      <c r="Z22" s="1">
        <v>2.5070960000000002</v>
      </c>
      <c r="AA22" s="1">
        <v>3.3182732000000001</v>
      </c>
      <c r="AB22" s="1" t="s">
        <v>54</v>
      </c>
      <c r="AC22" s="1">
        <v>1</v>
      </c>
      <c r="AD22" s="1">
        <v>0.78901849999999996</v>
      </c>
      <c r="AE22" s="1" t="s">
        <v>47</v>
      </c>
      <c r="AF22" s="1"/>
      <c r="AG22" s="1"/>
      <c r="AH22" s="1"/>
      <c r="AI22" s="1"/>
      <c r="AJ22" s="1">
        <v>1</v>
      </c>
      <c r="AK22" s="1">
        <v>1</v>
      </c>
      <c r="AL22" s="1" t="s">
        <v>56</v>
      </c>
      <c r="AM22" s="1" t="s">
        <v>49</v>
      </c>
      <c r="AN22" s="1"/>
      <c r="AO22" s="1" t="s">
        <v>50</v>
      </c>
      <c r="AP22" s="1">
        <v>59.998764020000003</v>
      </c>
      <c r="AQ22" s="1" t="s">
        <v>57</v>
      </c>
      <c r="AR22" s="1"/>
      <c r="AS22" s="1"/>
      <c r="AT22" s="1"/>
    </row>
    <row r="23" spans="1:46" x14ac:dyDescent="0.35">
      <c r="A23" s="1" t="s">
        <v>52</v>
      </c>
      <c r="B23" s="1" t="s">
        <v>44</v>
      </c>
      <c r="C23" s="1" t="s">
        <v>55</v>
      </c>
      <c r="D23" s="1" t="s">
        <v>46</v>
      </c>
      <c r="E23" s="1">
        <v>3</v>
      </c>
      <c r="F23" s="1">
        <v>3</v>
      </c>
      <c r="G23" s="1">
        <v>0</v>
      </c>
      <c r="H23" s="1" t="s">
        <v>46</v>
      </c>
      <c r="I23" s="1">
        <v>1</v>
      </c>
      <c r="J23" s="1">
        <v>0.52502380000000004</v>
      </c>
      <c r="K23" s="1" t="s">
        <v>47</v>
      </c>
      <c r="L23" s="1">
        <v>0</v>
      </c>
      <c r="M23" s="1">
        <v>3</v>
      </c>
      <c r="N23" s="1">
        <v>3</v>
      </c>
      <c r="O23" s="1">
        <v>2</v>
      </c>
      <c r="P23" s="1">
        <v>5.2908564</v>
      </c>
      <c r="Q23" s="1"/>
      <c r="R23" s="1"/>
      <c r="S23" s="1"/>
      <c r="T23" s="1"/>
      <c r="U23" s="1"/>
      <c r="V23" s="1">
        <v>5.2748965999999999</v>
      </c>
      <c r="W23" s="1">
        <v>5.2908564</v>
      </c>
      <c r="X23" s="1">
        <v>5.7737011000000003</v>
      </c>
      <c r="Y23" s="1">
        <v>5.7737011000000003</v>
      </c>
      <c r="Z23" s="1">
        <v>5.7737011000000003</v>
      </c>
      <c r="AA23" s="1">
        <v>6.3073880000000004</v>
      </c>
      <c r="AB23" s="1" t="s">
        <v>46</v>
      </c>
      <c r="AC23" s="1">
        <v>1</v>
      </c>
      <c r="AD23" s="1">
        <v>0.52502380000000004</v>
      </c>
      <c r="AE23" s="1" t="s">
        <v>47</v>
      </c>
      <c r="AF23" s="1"/>
      <c r="AG23" s="1"/>
      <c r="AH23" s="1"/>
      <c r="AI23" s="1"/>
      <c r="AJ23" s="1">
        <v>1</v>
      </c>
      <c r="AK23" s="1">
        <v>1</v>
      </c>
      <c r="AL23" s="1" t="s">
        <v>56</v>
      </c>
      <c r="AM23" s="1" t="s">
        <v>49</v>
      </c>
      <c r="AN23" s="1"/>
      <c r="AO23" s="1" t="s">
        <v>50</v>
      </c>
      <c r="AP23" s="1">
        <v>59.998764020000003</v>
      </c>
      <c r="AQ23" s="1" t="s">
        <v>57</v>
      </c>
      <c r="AR23" s="1"/>
      <c r="AS23" s="1"/>
      <c r="AT23" s="1"/>
    </row>
    <row r="24" spans="1:46" x14ac:dyDescent="0.35">
      <c r="A24" s="1" t="s">
        <v>43</v>
      </c>
      <c r="B24" s="1" t="s">
        <v>53</v>
      </c>
      <c r="C24" s="1" t="s">
        <v>55</v>
      </c>
      <c r="D24" s="1" t="s">
        <v>54</v>
      </c>
      <c r="E24" s="1">
        <v>4</v>
      </c>
      <c r="F24" s="1">
        <v>0</v>
      </c>
      <c r="G24" s="1">
        <v>1</v>
      </c>
      <c r="H24" s="1" t="s">
        <v>54</v>
      </c>
      <c r="I24" s="1">
        <v>1</v>
      </c>
      <c r="J24" s="1">
        <v>0.46002749999999998</v>
      </c>
      <c r="K24" s="1" t="s">
        <v>47</v>
      </c>
      <c r="L24" s="1">
        <v>1</v>
      </c>
      <c r="M24" s="1">
        <v>0</v>
      </c>
      <c r="N24" s="1">
        <v>4</v>
      </c>
      <c r="O24" s="1">
        <v>1</v>
      </c>
      <c r="P24" s="1">
        <v>6.3236299000000002</v>
      </c>
      <c r="Q24" s="1"/>
      <c r="R24" s="1"/>
      <c r="S24" s="1"/>
      <c r="T24" s="1"/>
      <c r="U24" s="1"/>
      <c r="V24" s="1">
        <v>6.3091733999999997</v>
      </c>
      <c r="W24" s="1">
        <v>6.3236299000000002</v>
      </c>
      <c r="X24" s="1">
        <v>6.8070428999999999</v>
      </c>
      <c r="Y24" s="1">
        <v>6.8070428999999999</v>
      </c>
      <c r="Z24" s="1">
        <v>6.8070428999999999</v>
      </c>
      <c r="AA24" s="1">
        <v>7.2739060999999996</v>
      </c>
      <c r="AB24" s="1" t="s">
        <v>54</v>
      </c>
      <c r="AC24" s="1">
        <v>1</v>
      </c>
      <c r="AD24" s="1">
        <v>0.46002749999999998</v>
      </c>
      <c r="AE24" s="1" t="s">
        <v>47</v>
      </c>
      <c r="AF24" s="1"/>
      <c r="AG24" s="1"/>
      <c r="AH24" s="1"/>
      <c r="AI24" s="1"/>
      <c r="AJ24" s="1">
        <v>1</v>
      </c>
      <c r="AK24" s="1">
        <v>1</v>
      </c>
      <c r="AL24" s="1" t="s">
        <v>56</v>
      </c>
      <c r="AM24" s="1" t="s">
        <v>49</v>
      </c>
      <c r="AN24" s="1"/>
      <c r="AO24" s="1" t="s">
        <v>50</v>
      </c>
      <c r="AP24" s="1">
        <v>59.998764020000003</v>
      </c>
      <c r="AQ24" s="1" t="s">
        <v>57</v>
      </c>
      <c r="AR24" s="1"/>
      <c r="AS24" s="1"/>
      <c r="AT24" s="1"/>
    </row>
    <row r="25" spans="1:46" x14ac:dyDescent="0.35">
      <c r="A25" s="1" t="s">
        <v>52</v>
      </c>
      <c r="B25" s="1" t="s">
        <v>44</v>
      </c>
      <c r="C25" s="1" t="s">
        <v>55</v>
      </c>
      <c r="D25" s="1" t="s">
        <v>46</v>
      </c>
      <c r="E25" s="1">
        <v>5</v>
      </c>
      <c r="F25" s="1">
        <v>1</v>
      </c>
      <c r="G25" s="1">
        <v>1</v>
      </c>
      <c r="H25" s="1" t="s">
        <v>46</v>
      </c>
      <c r="I25" s="1">
        <v>1</v>
      </c>
      <c r="J25" s="1">
        <v>0.44452039999999998</v>
      </c>
      <c r="K25" s="1" t="s">
        <v>47</v>
      </c>
      <c r="L25" s="1">
        <v>1</v>
      </c>
      <c r="M25" s="1">
        <v>1</v>
      </c>
      <c r="N25" s="1">
        <v>5</v>
      </c>
      <c r="O25" s="1">
        <v>2</v>
      </c>
      <c r="P25" s="1">
        <v>7.2903254999999998</v>
      </c>
      <c r="Q25" s="1"/>
      <c r="R25" s="1"/>
      <c r="S25" s="1"/>
      <c r="T25" s="1"/>
      <c r="U25" s="1"/>
      <c r="V25" s="1">
        <v>7.2764480999999996</v>
      </c>
      <c r="W25" s="1">
        <v>7.2903254999999998</v>
      </c>
      <c r="X25" s="1">
        <v>7.7736216999999996</v>
      </c>
      <c r="Y25" s="1">
        <v>7.7736216999999996</v>
      </c>
      <c r="Z25" s="1">
        <v>7.7736216999999996</v>
      </c>
      <c r="AA25" s="1">
        <v>8.2241935000000002</v>
      </c>
      <c r="AB25" s="1" t="s">
        <v>46</v>
      </c>
      <c r="AC25" s="1">
        <v>1</v>
      </c>
      <c r="AD25" s="1">
        <v>0.44452039999999998</v>
      </c>
      <c r="AE25" s="1" t="s">
        <v>47</v>
      </c>
      <c r="AF25" s="1"/>
      <c r="AG25" s="1"/>
      <c r="AH25" s="1"/>
      <c r="AI25" s="1"/>
      <c r="AJ25" s="1">
        <v>1</v>
      </c>
      <c r="AK25" s="1">
        <v>1</v>
      </c>
      <c r="AL25" s="1" t="s">
        <v>56</v>
      </c>
      <c r="AM25" s="1" t="s">
        <v>49</v>
      </c>
      <c r="AN25" s="1"/>
      <c r="AO25" s="1" t="s">
        <v>50</v>
      </c>
      <c r="AP25" s="1">
        <v>59.998764020000003</v>
      </c>
      <c r="AQ25" s="1" t="s">
        <v>57</v>
      </c>
      <c r="AR25" s="1"/>
      <c r="AS25" s="1"/>
      <c r="AT25" s="1"/>
    </row>
    <row r="26" spans="1:46" x14ac:dyDescent="0.35">
      <c r="A26" s="1" t="s">
        <v>43</v>
      </c>
      <c r="B26" s="1" t="s">
        <v>53</v>
      </c>
      <c r="C26" s="1" t="s">
        <v>55</v>
      </c>
      <c r="D26" s="1" t="s">
        <v>54</v>
      </c>
      <c r="E26" s="1">
        <v>8</v>
      </c>
      <c r="F26" s="1">
        <v>0</v>
      </c>
      <c r="G26" s="1">
        <v>2</v>
      </c>
      <c r="H26" s="1" t="s">
        <v>54</v>
      </c>
      <c r="I26" s="1">
        <v>1</v>
      </c>
      <c r="J26" s="1">
        <v>0.32608619999999999</v>
      </c>
      <c r="K26" s="1" t="s">
        <v>47</v>
      </c>
      <c r="L26" s="1">
        <v>2</v>
      </c>
      <c r="M26" s="1">
        <v>0</v>
      </c>
      <c r="N26" s="1">
        <v>8</v>
      </c>
      <c r="O26" s="1">
        <v>1</v>
      </c>
      <c r="P26" s="1">
        <v>10.1570386</v>
      </c>
      <c r="Q26" s="1"/>
      <c r="R26" s="1"/>
      <c r="S26" s="1"/>
      <c r="T26" s="1"/>
      <c r="U26" s="1"/>
      <c r="V26" s="1">
        <v>10.1420479</v>
      </c>
      <c r="W26" s="1">
        <v>10.1570386</v>
      </c>
      <c r="X26" s="1">
        <v>10.640222</v>
      </c>
      <c r="Y26" s="1">
        <v>10.640222</v>
      </c>
      <c r="Z26" s="1">
        <v>10.640222</v>
      </c>
      <c r="AA26" s="1">
        <v>10.9740252</v>
      </c>
      <c r="AB26" s="1" t="s">
        <v>54</v>
      </c>
      <c r="AC26" s="1">
        <v>1</v>
      </c>
      <c r="AD26" s="1">
        <v>0.32608619999999999</v>
      </c>
      <c r="AE26" s="1" t="s">
        <v>47</v>
      </c>
      <c r="AF26" s="1"/>
      <c r="AG26" s="1"/>
      <c r="AH26" s="1"/>
      <c r="AI26" s="1"/>
      <c r="AJ26" s="1">
        <v>1</v>
      </c>
      <c r="AK26" s="1">
        <v>1</v>
      </c>
      <c r="AL26" s="1" t="s">
        <v>56</v>
      </c>
      <c r="AM26" s="1" t="s">
        <v>49</v>
      </c>
      <c r="AN26" s="1"/>
      <c r="AO26" s="1" t="s">
        <v>50</v>
      </c>
      <c r="AP26" s="1">
        <v>59.998764020000003</v>
      </c>
      <c r="AQ26" s="1" t="s">
        <v>57</v>
      </c>
      <c r="AR26" s="1"/>
      <c r="AS26" s="1"/>
      <c r="AT26" s="1"/>
    </row>
    <row r="27" spans="1:46" x14ac:dyDescent="0.35">
      <c r="A27" s="1" t="s">
        <v>52</v>
      </c>
      <c r="B27" s="1" t="s">
        <v>44</v>
      </c>
      <c r="C27" s="1" t="s">
        <v>55</v>
      </c>
      <c r="D27" s="1" t="s">
        <v>46</v>
      </c>
      <c r="E27" s="1">
        <v>10</v>
      </c>
      <c r="F27" s="1">
        <v>2</v>
      </c>
      <c r="G27" s="1">
        <v>2</v>
      </c>
      <c r="H27" s="1" t="s">
        <v>46</v>
      </c>
      <c r="I27" s="1">
        <v>1</v>
      </c>
      <c r="J27" s="1">
        <v>0.57199719999999998</v>
      </c>
      <c r="K27" s="1" t="s">
        <v>47</v>
      </c>
      <c r="L27" s="1">
        <v>2</v>
      </c>
      <c r="M27" s="1">
        <v>2</v>
      </c>
      <c r="N27" s="1">
        <v>10</v>
      </c>
      <c r="O27" s="1">
        <v>2</v>
      </c>
      <c r="P27" s="1">
        <v>11.873564399999999</v>
      </c>
      <c r="Q27" s="1"/>
      <c r="R27" s="1"/>
      <c r="S27" s="1"/>
      <c r="T27" s="1"/>
      <c r="U27" s="1"/>
      <c r="V27" s="1">
        <v>11.8580419</v>
      </c>
      <c r="W27" s="1">
        <v>11.873564399999999</v>
      </c>
      <c r="X27" s="1">
        <v>12.356749000000001</v>
      </c>
      <c r="Y27" s="1">
        <v>12.356749000000001</v>
      </c>
      <c r="Z27" s="1">
        <v>12.356749000000001</v>
      </c>
      <c r="AA27" s="1">
        <v>12.9403515</v>
      </c>
      <c r="AB27" s="1" t="s">
        <v>46</v>
      </c>
      <c r="AC27" s="1">
        <v>1</v>
      </c>
      <c r="AD27" s="1">
        <v>0.57199719999999998</v>
      </c>
      <c r="AE27" s="1" t="s">
        <v>47</v>
      </c>
      <c r="AF27" s="1"/>
      <c r="AG27" s="1"/>
      <c r="AH27" s="1"/>
      <c r="AI27" s="1"/>
      <c r="AJ27" s="1">
        <v>1</v>
      </c>
      <c r="AK27" s="1">
        <v>1</v>
      </c>
      <c r="AL27" s="1" t="s">
        <v>56</v>
      </c>
      <c r="AM27" s="1" t="s">
        <v>49</v>
      </c>
      <c r="AN27" s="1"/>
      <c r="AO27" s="1" t="s">
        <v>50</v>
      </c>
      <c r="AP27" s="1">
        <v>59.998764020000003</v>
      </c>
      <c r="AQ27" s="1" t="s">
        <v>57</v>
      </c>
      <c r="AR27" s="1"/>
      <c r="AS27" s="1"/>
      <c r="AT27" s="1"/>
    </row>
    <row r="28" spans="1:46" x14ac:dyDescent="0.35">
      <c r="A28" s="1" t="s">
        <v>43</v>
      </c>
      <c r="B28" s="1" t="s">
        <v>53</v>
      </c>
      <c r="C28" s="1" t="s">
        <v>55</v>
      </c>
      <c r="D28" s="1" t="s">
        <v>54</v>
      </c>
      <c r="E28" s="1">
        <v>12</v>
      </c>
      <c r="F28" s="1">
        <v>0</v>
      </c>
      <c r="G28" s="1">
        <v>3</v>
      </c>
      <c r="H28" s="1" t="s">
        <v>54</v>
      </c>
      <c r="I28" s="1">
        <v>1</v>
      </c>
      <c r="J28" s="1">
        <v>0.4697423</v>
      </c>
      <c r="K28" s="1" t="s">
        <v>47</v>
      </c>
      <c r="L28" s="1">
        <v>3</v>
      </c>
      <c r="M28" s="1">
        <v>0</v>
      </c>
      <c r="N28" s="1">
        <v>12</v>
      </c>
      <c r="O28" s="1">
        <v>1</v>
      </c>
      <c r="P28" s="1">
        <v>13.840210799999999</v>
      </c>
      <c r="Q28" s="1"/>
      <c r="R28" s="1"/>
      <c r="S28" s="1"/>
      <c r="T28" s="1"/>
      <c r="U28" s="1"/>
      <c r="V28" s="1">
        <v>13.8260758</v>
      </c>
      <c r="W28" s="1">
        <v>13.840210799999999</v>
      </c>
      <c r="X28" s="1">
        <v>14.339967100000001</v>
      </c>
      <c r="Y28" s="1">
        <v>14.339967100000001</v>
      </c>
      <c r="Z28" s="1">
        <v>14.339967100000001</v>
      </c>
      <c r="AA28" s="1">
        <v>14.824058000000001</v>
      </c>
      <c r="AB28" s="1" t="s">
        <v>54</v>
      </c>
      <c r="AC28" s="1">
        <v>1</v>
      </c>
      <c r="AD28" s="1">
        <v>0.4697423</v>
      </c>
      <c r="AE28" s="1" t="s">
        <v>47</v>
      </c>
      <c r="AF28" s="1"/>
      <c r="AG28" s="1"/>
      <c r="AH28" s="1"/>
      <c r="AI28" s="1"/>
      <c r="AJ28" s="1">
        <v>1</v>
      </c>
      <c r="AK28" s="1">
        <v>1</v>
      </c>
      <c r="AL28" s="1" t="s">
        <v>56</v>
      </c>
      <c r="AM28" s="1" t="s">
        <v>49</v>
      </c>
      <c r="AN28" s="1"/>
      <c r="AO28" s="1" t="s">
        <v>50</v>
      </c>
      <c r="AP28" s="1">
        <v>59.998764020000003</v>
      </c>
      <c r="AQ28" s="1" t="s">
        <v>57</v>
      </c>
      <c r="AR28" s="1"/>
      <c r="AS28" s="1"/>
      <c r="AT28" s="1"/>
    </row>
    <row r="29" spans="1:46" x14ac:dyDescent="0.35">
      <c r="A29" s="1" t="s">
        <v>52</v>
      </c>
      <c r="B29" s="1" t="s">
        <v>44</v>
      </c>
      <c r="C29" s="1" t="s">
        <v>55</v>
      </c>
      <c r="D29" s="1" t="s">
        <v>46</v>
      </c>
      <c r="E29" s="1">
        <v>14</v>
      </c>
      <c r="F29" s="1">
        <v>2</v>
      </c>
      <c r="G29" s="1">
        <v>3</v>
      </c>
      <c r="H29" s="1" t="s">
        <v>46</v>
      </c>
      <c r="I29" s="1">
        <v>1</v>
      </c>
      <c r="J29" s="1">
        <v>0.57923720000000001</v>
      </c>
      <c r="K29" s="1" t="s">
        <v>47</v>
      </c>
      <c r="L29" s="1">
        <v>3</v>
      </c>
      <c r="M29" s="1">
        <v>2</v>
      </c>
      <c r="N29" s="1">
        <v>14</v>
      </c>
      <c r="O29" s="1">
        <v>2</v>
      </c>
      <c r="P29" s="1">
        <v>15.923223999999999</v>
      </c>
      <c r="Q29" s="1"/>
      <c r="R29" s="1"/>
      <c r="S29" s="1"/>
      <c r="T29" s="1"/>
      <c r="U29" s="1"/>
      <c r="V29" s="1">
        <v>15.911911999999999</v>
      </c>
      <c r="W29" s="1">
        <v>15.923223999999999</v>
      </c>
      <c r="X29" s="1">
        <v>16.423086699999999</v>
      </c>
      <c r="Y29" s="1">
        <v>16.423086699999999</v>
      </c>
      <c r="Z29" s="1">
        <v>16.423086699999999</v>
      </c>
      <c r="AA29" s="1">
        <v>17.007060599999999</v>
      </c>
      <c r="AB29" s="1" t="s">
        <v>46</v>
      </c>
      <c r="AC29" s="1">
        <v>1</v>
      </c>
      <c r="AD29" s="1">
        <v>0.57923720000000001</v>
      </c>
      <c r="AE29" s="1" t="s">
        <v>47</v>
      </c>
      <c r="AF29" s="1"/>
      <c r="AG29" s="1"/>
      <c r="AH29" s="1"/>
      <c r="AI29" s="1"/>
      <c r="AJ29" s="1">
        <v>1</v>
      </c>
      <c r="AK29" s="1">
        <v>1</v>
      </c>
      <c r="AL29" s="1" t="s">
        <v>56</v>
      </c>
      <c r="AM29" s="1" t="s">
        <v>49</v>
      </c>
      <c r="AN29" s="1"/>
      <c r="AO29" s="1" t="s">
        <v>50</v>
      </c>
      <c r="AP29" s="1">
        <v>59.998764020000003</v>
      </c>
      <c r="AQ29" s="1" t="s">
        <v>57</v>
      </c>
      <c r="AR29" s="1"/>
      <c r="AS29" s="1"/>
      <c r="AT29" s="1"/>
    </row>
    <row r="30" spans="1:46" x14ac:dyDescent="0.35">
      <c r="A30" s="1" t="s">
        <v>43</v>
      </c>
      <c r="B30" s="1" t="s">
        <v>53</v>
      </c>
      <c r="C30" s="1" t="s">
        <v>55</v>
      </c>
      <c r="D30" s="1" t="s">
        <v>54</v>
      </c>
      <c r="E30" s="1">
        <v>16</v>
      </c>
      <c r="F30" s="1">
        <v>0</v>
      </c>
      <c r="G30" s="1">
        <v>4</v>
      </c>
      <c r="H30" s="1" t="s">
        <v>54</v>
      </c>
      <c r="I30" s="1">
        <v>1</v>
      </c>
      <c r="J30" s="1">
        <v>0.39468259999999999</v>
      </c>
      <c r="K30" s="1" t="s">
        <v>47</v>
      </c>
      <c r="L30" s="1">
        <v>4</v>
      </c>
      <c r="M30" s="1">
        <v>0</v>
      </c>
      <c r="N30" s="1">
        <v>16</v>
      </c>
      <c r="O30" s="1">
        <v>1</v>
      </c>
      <c r="P30" s="1">
        <v>17.973057399999998</v>
      </c>
      <c r="Q30" s="1"/>
      <c r="R30" s="1"/>
      <c r="S30" s="1"/>
      <c r="T30" s="1"/>
      <c r="U30" s="1"/>
      <c r="V30" s="1">
        <v>17.9610108</v>
      </c>
      <c r="W30" s="1">
        <v>17.973057399999998</v>
      </c>
      <c r="X30" s="1">
        <v>18.456535800000001</v>
      </c>
      <c r="Y30" s="1">
        <v>18.456535800000001</v>
      </c>
      <c r="Z30" s="1">
        <v>18.456535800000001</v>
      </c>
      <c r="AA30" s="1">
        <v>18.856856499999999</v>
      </c>
      <c r="AB30" s="1" t="s">
        <v>54</v>
      </c>
      <c r="AC30" s="1">
        <v>1</v>
      </c>
      <c r="AD30" s="1">
        <v>0.39468259999999999</v>
      </c>
      <c r="AE30" s="1" t="s">
        <v>47</v>
      </c>
      <c r="AF30" s="1"/>
      <c r="AG30" s="1"/>
      <c r="AH30" s="1"/>
      <c r="AI30" s="1"/>
      <c r="AJ30" s="1">
        <v>1</v>
      </c>
      <c r="AK30" s="1">
        <v>1</v>
      </c>
      <c r="AL30" s="1" t="s">
        <v>56</v>
      </c>
      <c r="AM30" s="1" t="s">
        <v>49</v>
      </c>
      <c r="AN30" s="1"/>
      <c r="AO30" s="1" t="s">
        <v>50</v>
      </c>
      <c r="AP30" s="1">
        <v>59.998764020000003</v>
      </c>
      <c r="AQ30" s="1" t="s">
        <v>57</v>
      </c>
      <c r="AR30" s="1"/>
      <c r="AS30" s="1"/>
      <c r="AT30" s="1"/>
    </row>
    <row r="31" spans="1:46" x14ac:dyDescent="0.35">
      <c r="A31" s="1" t="s">
        <v>52</v>
      </c>
      <c r="B31" s="1" t="s">
        <v>44</v>
      </c>
      <c r="C31" s="1" t="s">
        <v>55</v>
      </c>
      <c r="D31" s="1" t="s">
        <v>46</v>
      </c>
      <c r="E31" s="1">
        <v>17</v>
      </c>
      <c r="F31" s="1">
        <v>1</v>
      </c>
      <c r="G31" s="1">
        <v>4</v>
      </c>
      <c r="H31" s="1" t="s">
        <v>46</v>
      </c>
      <c r="I31" s="1">
        <v>1</v>
      </c>
      <c r="J31" s="1">
        <v>0.4204387</v>
      </c>
      <c r="K31" s="1" t="s">
        <v>47</v>
      </c>
      <c r="L31" s="1">
        <v>4</v>
      </c>
      <c r="M31" s="1">
        <v>1</v>
      </c>
      <c r="N31" s="1">
        <v>17</v>
      </c>
      <c r="O31" s="1">
        <v>2</v>
      </c>
      <c r="P31" s="1">
        <v>18.872931099999999</v>
      </c>
      <c r="Q31" s="1"/>
      <c r="R31" s="1"/>
      <c r="S31" s="1"/>
      <c r="T31" s="1"/>
      <c r="U31" s="1"/>
      <c r="V31" s="1">
        <v>18.860454900000001</v>
      </c>
      <c r="W31" s="1">
        <v>18.872931099999999</v>
      </c>
      <c r="X31" s="1">
        <v>19.356324399999998</v>
      </c>
      <c r="Y31" s="1">
        <v>19.356324399999998</v>
      </c>
      <c r="Z31" s="1">
        <v>19.356324399999998</v>
      </c>
      <c r="AA31" s="1">
        <v>19.790200500000001</v>
      </c>
      <c r="AB31" s="1" t="s">
        <v>46</v>
      </c>
      <c r="AC31" s="1">
        <v>1</v>
      </c>
      <c r="AD31" s="1">
        <v>0.4204387</v>
      </c>
      <c r="AE31" s="1" t="s">
        <v>47</v>
      </c>
      <c r="AF31" s="1"/>
      <c r="AG31" s="1"/>
      <c r="AH31" s="1"/>
      <c r="AI31" s="1"/>
      <c r="AJ31" s="1">
        <v>1</v>
      </c>
      <c r="AK31" s="1">
        <v>1</v>
      </c>
      <c r="AL31" s="1" t="s">
        <v>56</v>
      </c>
      <c r="AM31" s="1" t="s">
        <v>49</v>
      </c>
      <c r="AN31" s="1"/>
      <c r="AO31" s="1" t="s">
        <v>50</v>
      </c>
      <c r="AP31" s="1">
        <v>59.998764020000003</v>
      </c>
      <c r="AQ31" s="1" t="s">
        <v>57</v>
      </c>
      <c r="AR31" s="1"/>
      <c r="AS31" s="1"/>
      <c r="AT31" s="1"/>
    </row>
    <row r="32" spans="1:46" x14ac:dyDescent="0.35">
      <c r="A32" s="1" t="s">
        <v>52</v>
      </c>
      <c r="B32" s="1" t="s">
        <v>44</v>
      </c>
      <c r="C32" s="1" t="s">
        <v>55</v>
      </c>
      <c r="D32" s="1" t="s">
        <v>46</v>
      </c>
      <c r="E32" s="1">
        <v>20</v>
      </c>
      <c r="F32" s="1">
        <v>0</v>
      </c>
      <c r="G32" s="1">
        <v>5</v>
      </c>
      <c r="H32" s="1" t="s">
        <v>46</v>
      </c>
      <c r="I32" s="1">
        <v>1</v>
      </c>
      <c r="J32" s="1">
        <v>0.42129820000000001</v>
      </c>
      <c r="K32" s="1" t="s">
        <v>47</v>
      </c>
      <c r="L32" s="1">
        <v>5</v>
      </c>
      <c r="M32" s="1">
        <v>0</v>
      </c>
      <c r="N32" s="1">
        <v>20</v>
      </c>
      <c r="O32" s="1">
        <v>2</v>
      </c>
      <c r="P32" s="1">
        <v>21.656342800000001</v>
      </c>
      <c r="Q32" s="1"/>
      <c r="R32" s="1"/>
      <c r="S32" s="1"/>
      <c r="T32" s="1"/>
      <c r="U32" s="1"/>
      <c r="V32" s="1">
        <v>21.644301299999999</v>
      </c>
      <c r="W32" s="1">
        <v>21.656342800000001</v>
      </c>
      <c r="X32" s="1">
        <v>22.1396953</v>
      </c>
      <c r="Y32" s="1">
        <v>22.1396953</v>
      </c>
      <c r="Z32" s="1">
        <v>22.1396953</v>
      </c>
      <c r="AA32" s="1">
        <v>22.5734508</v>
      </c>
      <c r="AB32" s="1" t="s">
        <v>46</v>
      </c>
      <c r="AC32" s="1">
        <v>1</v>
      </c>
      <c r="AD32" s="1">
        <v>0.42129820000000001</v>
      </c>
      <c r="AE32" s="1" t="s">
        <v>47</v>
      </c>
      <c r="AF32" s="1"/>
      <c r="AG32" s="1"/>
      <c r="AH32" s="1"/>
      <c r="AI32" s="1"/>
      <c r="AJ32" s="1">
        <v>1</v>
      </c>
      <c r="AK32" s="1">
        <v>1</v>
      </c>
      <c r="AL32" s="1" t="s">
        <v>56</v>
      </c>
      <c r="AM32" s="1" t="s">
        <v>49</v>
      </c>
      <c r="AN32" s="1"/>
      <c r="AO32" s="1" t="s">
        <v>50</v>
      </c>
      <c r="AP32" s="1">
        <v>59.998764020000003</v>
      </c>
      <c r="AQ32" s="1" t="s">
        <v>57</v>
      </c>
      <c r="AR32" s="1"/>
      <c r="AS32" s="1"/>
      <c r="AT32" s="1"/>
    </row>
    <row r="33" spans="1:46" x14ac:dyDescent="0.35">
      <c r="A33" s="1" t="s">
        <v>43</v>
      </c>
      <c r="B33" s="1" t="s">
        <v>53</v>
      </c>
      <c r="C33" s="1" t="s">
        <v>55</v>
      </c>
      <c r="D33" s="1" t="s">
        <v>54</v>
      </c>
      <c r="E33" s="1">
        <v>23</v>
      </c>
      <c r="F33" s="1">
        <v>3</v>
      </c>
      <c r="G33" s="1">
        <v>5</v>
      </c>
      <c r="H33" s="1" t="s">
        <v>54</v>
      </c>
      <c r="I33" s="1">
        <v>1</v>
      </c>
      <c r="J33" s="1">
        <v>0.5664226</v>
      </c>
      <c r="K33" s="1" t="s">
        <v>47</v>
      </c>
      <c r="L33" s="1">
        <v>5</v>
      </c>
      <c r="M33" s="1">
        <v>3</v>
      </c>
      <c r="N33" s="1">
        <v>23</v>
      </c>
      <c r="O33" s="1">
        <v>1</v>
      </c>
      <c r="P33" s="1">
        <v>24.639531699999999</v>
      </c>
      <c r="Q33" s="1"/>
      <c r="R33" s="1"/>
      <c r="S33" s="1"/>
      <c r="T33" s="1"/>
      <c r="U33" s="1"/>
      <c r="V33" s="1">
        <v>24.6241345</v>
      </c>
      <c r="W33" s="1">
        <v>24.639531699999999</v>
      </c>
      <c r="X33" s="1">
        <v>25.122787800000001</v>
      </c>
      <c r="Y33" s="1">
        <v>25.122787800000001</v>
      </c>
      <c r="Z33" s="1">
        <v>25.122787800000001</v>
      </c>
      <c r="AA33" s="1">
        <v>25.689976300000001</v>
      </c>
      <c r="AB33" s="1" t="s">
        <v>54</v>
      </c>
      <c r="AC33" s="1">
        <v>1</v>
      </c>
      <c r="AD33" s="1">
        <v>0.5664226</v>
      </c>
      <c r="AE33" s="1" t="s">
        <v>47</v>
      </c>
      <c r="AF33" s="1"/>
      <c r="AG33" s="1"/>
      <c r="AH33" s="1"/>
      <c r="AI33" s="1"/>
      <c r="AJ33" s="1">
        <v>1</v>
      </c>
      <c r="AK33" s="1">
        <v>1</v>
      </c>
      <c r="AL33" s="1" t="s">
        <v>56</v>
      </c>
      <c r="AM33" s="1" t="s">
        <v>49</v>
      </c>
      <c r="AN33" s="1"/>
      <c r="AO33" s="1" t="s">
        <v>50</v>
      </c>
      <c r="AP33" s="1">
        <v>59.998764020000003</v>
      </c>
      <c r="AQ33" s="1" t="s">
        <v>57</v>
      </c>
      <c r="AR33" s="1"/>
      <c r="AS33" s="1"/>
      <c r="AT33" s="1"/>
    </row>
    <row r="34" spans="1:46" x14ac:dyDescent="0.35">
      <c r="A34" s="1" t="s">
        <v>43</v>
      </c>
      <c r="B34" s="1" t="s">
        <v>53</v>
      </c>
      <c r="C34" s="1" t="s">
        <v>55</v>
      </c>
      <c r="D34" s="1" t="s">
        <v>54</v>
      </c>
      <c r="E34" s="1">
        <v>26</v>
      </c>
      <c r="F34" s="1">
        <v>2</v>
      </c>
      <c r="G34" s="1">
        <v>6</v>
      </c>
      <c r="H34" s="1" t="s">
        <v>54</v>
      </c>
      <c r="I34" s="1">
        <v>1</v>
      </c>
      <c r="J34" s="1">
        <v>0.38274580000000002</v>
      </c>
      <c r="K34" s="1" t="s">
        <v>47</v>
      </c>
      <c r="L34" s="1">
        <v>6</v>
      </c>
      <c r="M34" s="1">
        <v>2</v>
      </c>
      <c r="N34" s="1">
        <v>26</v>
      </c>
      <c r="O34" s="1">
        <v>1</v>
      </c>
      <c r="P34" s="1">
        <v>27.9393861</v>
      </c>
      <c r="Q34" s="1"/>
      <c r="R34" s="1"/>
      <c r="S34" s="1"/>
      <c r="T34" s="1"/>
      <c r="U34" s="1"/>
      <c r="V34" s="1">
        <v>27.929122799999998</v>
      </c>
      <c r="W34" s="1">
        <v>27.9393861</v>
      </c>
      <c r="X34" s="1">
        <v>28.4225089</v>
      </c>
      <c r="Y34" s="1">
        <v>28.4225089</v>
      </c>
      <c r="Z34" s="1">
        <v>28.4225089</v>
      </c>
      <c r="AA34" s="1">
        <v>28.8063635</v>
      </c>
      <c r="AB34" s="1" t="s">
        <v>54</v>
      </c>
      <c r="AC34" s="1">
        <v>1</v>
      </c>
      <c r="AD34" s="1">
        <v>0.38274580000000002</v>
      </c>
      <c r="AE34" s="1" t="s">
        <v>47</v>
      </c>
      <c r="AF34" s="1"/>
      <c r="AG34" s="1"/>
      <c r="AH34" s="1"/>
      <c r="AI34" s="1"/>
      <c r="AJ34" s="1">
        <v>1</v>
      </c>
      <c r="AK34" s="1">
        <v>1</v>
      </c>
      <c r="AL34" s="1" t="s">
        <v>56</v>
      </c>
      <c r="AM34" s="1" t="s">
        <v>49</v>
      </c>
      <c r="AN34" s="1"/>
      <c r="AO34" s="1" t="s">
        <v>50</v>
      </c>
      <c r="AP34" s="1">
        <v>59.998764020000003</v>
      </c>
      <c r="AQ34" s="1" t="s">
        <v>57</v>
      </c>
      <c r="AR34" s="1"/>
      <c r="AS34" s="1"/>
      <c r="AT34" s="1"/>
    </row>
    <row r="35" spans="1:46" x14ac:dyDescent="0.35">
      <c r="A35" s="1" t="s">
        <v>52</v>
      </c>
      <c r="B35" s="1" t="s">
        <v>44</v>
      </c>
      <c r="C35" s="1" t="s">
        <v>55</v>
      </c>
      <c r="D35" s="1" t="s">
        <v>46</v>
      </c>
      <c r="E35" s="1">
        <v>27</v>
      </c>
      <c r="F35" s="1">
        <v>3</v>
      </c>
      <c r="G35" s="1">
        <v>6</v>
      </c>
      <c r="H35" s="1" t="s">
        <v>46</v>
      </c>
      <c r="I35" s="1">
        <v>1</v>
      </c>
      <c r="J35" s="1">
        <v>0.64847189999999999</v>
      </c>
      <c r="K35" s="1" t="s">
        <v>47</v>
      </c>
      <c r="L35" s="1">
        <v>6</v>
      </c>
      <c r="M35" s="1">
        <v>3</v>
      </c>
      <c r="N35" s="1">
        <v>27</v>
      </c>
      <c r="O35" s="1">
        <v>2</v>
      </c>
      <c r="P35" s="1">
        <v>28.822573899999998</v>
      </c>
      <c r="Q35" s="1"/>
      <c r="R35" s="1"/>
      <c r="S35" s="1"/>
      <c r="T35" s="1"/>
      <c r="U35" s="1"/>
      <c r="V35" s="1">
        <v>28.8118515</v>
      </c>
      <c r="W35" s="1">
        <v>28.822573899999998</v>
      </c>
      <c r="X35" s="1">
        <v>29.3060498</v>
      </c>
      <c r="Y35" s="1">
        <v>29.3060498</v>
      </c>
      <c r="Z35" s="1">
        <v>29.3060498</v>
      </c>
      <c r="AA35" s="1">
        <v>29.956511899999999</v>
      </c>
      <c r="AB35" s="1" t="s">
        <v>46</v>
      </c>
      <c r="AC35" s="1">
        <v>1</v>
      </c>
      <c r="AD35" s="1">
        <v>0.64847189999999999</v>
      </c>
      <c r="AE35" s="1" t="s">
        <v>47</v>
      </c>
      <c r="AF35" s="1"/>
      <c r="AG35" s="1"/>
      <c r="AH35" s="1"/>
      <c r="AI35" s="1"/>
      <c r="AJ35" s="1">
        <v>1</v>
      </c>
      <c r="AK35" s="1">
        <v>1</v>
      </c>
      <c r="AL35" s="1" t="s">
        <v>56</v>
      </c>
      <c r="AM35" s="1" t="s">
        <v>49</v>
      </c>
      <c r="AN35" s="1"/>
      <c r="AO35" s="1" t="s">
        <v>50</v>
      </c>
      <c r="AP35" s="1">
        <v>59.998764020000003</v>
      </c>
      <c r="AQ35" s="1" t="s">
        <v>57</v>
      </c>
      <c r="AR35" s="1"/>
      <c r="AS35" s="1"/>
      <c r="AT35" s="1"/>
    </row>
    <row r="36" spans="1:46" x14ac:dyDescent="0.35">
      <c r="A36" s="1" t="s">
        <v>43</v>
      </c>
      <c r="B36" s="1" t="s">
        <v>53</v>
      </c>
      <c r="C36" s="1" t="s">
        <v>55</v>
      </c>
      <c r="D36" s="1" t="s">
        <v>54</v>
      </c>
      <c r="E36" s="1">
        <v>28</v>
      </c>
      <c r="F36" s="1">
        <v>0</v>
      </c>
      <c r="G36" s="1">
        <v>7</v>
      </c>
      <c r="H36" s="1" t="s">
        <v>54</v>
      </c>
      <c r="I36" s="1">
        <v>1</v>
      </c>
      <c r="J36" s="1">
        <v>0.61358020000000002</v>
      </c>
      <c r="K36" s="1" t="s">
        <v>47</v>
      </c>
      <c r="L36" s="1">
        <v>7</v>
      </c>
      <c r="M36" s="1">
        <v>0</v>
      </c>
      <c r="N36" s="1">
        <v>28</v>
      </c>
      <c r="O36" s="1">
        <v>1</v>
      </c>
      <c r="P36" s="1">
        <v>29.972490199999999</v>
      </c>
      <c r="Q36" s="1"/>
      <c r="R36" s="1"/>
      <c r="S36" s="1"/>
      <c r="T36" s="1"/>
      <c r="U36" s="1"/>
      <c r="V36" s="1">
        <v>29.959651600000001</v>
      </c>
      <c r="W36" s="1">
        <v>29.972490199999999</v>
      </c>
      <c r="X36" s="1">
        <v>30.455856900000001</v>
      </c>
      <c r="Y36" s="1">
        <v>30.455856900000001</v>
      </c>
      <c r="Z36" s="1">
        <v>30.455856900000001</v>
      </c>
      <c r="AA36" s="1">
        <v>31.073014199999999</v>
      </c>
      <c r="AB36" s="1" t="s">
        <v>54</v>
      </c>
      <c r="AC36" s="1">
        <v>1</v>
      </c>
      <c r="AD36" s="1">
        <v>0.61358020000000002</v>
      </c>
      <c r="AE36" s="1" t="s">
        <v>47</v>
      </c>
      <c r="AF36" s="1"/>
      <c r="AG36" s="1"/>
      <c r="AH36" s="1"/>
      <c r="AI36" s="1"/>
      <c r="AJ36" s="1">
        <v>1</v>
      </c>
      <c r="AK36" s="1">
        <v>1</v>
      </c>
      <c r="AL36" s="1" t="s">
        <v>56</v>
      </c>
      <c r="AM36" s="1" t="s">
        <v>49</v>
      </c>
      <c r="AN36" s="1"/>
      <c r="AO36" s="1" t="s">
        <v>50</v>
      </c>
      <c r="AP36" s="1">
        <v>59.998764020000003</v>
      </c>
      <c r="AQ36" s="1" t="s">
        <v>57</v>
      </c>
      <c r="AR36" s="1"/>
      <c r="AS36" s="1"/>
      <c r="AT36" s="1"/>
    </row>
    <row r="37" spans="1:46" x14ac:dyDescent="0.35">
      <c r="A37" s="1" t="s">
        <v>52</v>
      </c>
      <c r="B37" s="1" t="s">
        <v>44</v>
      </c>
      <c r="C37" s="1" t="s">
        <v>55</v>
      </c>
      <c r="D37" s="1" t="s">
        <v>46</v>
      </c>
      <c r="E37" s="1">
        <v>29</v>
      </c>
      <c r="F37" s="1">
        <v>1</v>
      </c>
      <c r="G37" s="1">
        <v>7</v>
      </c>
      <c r="H37" s="1" t="s">
        <v>46</v>
      </c>
      <c r="I37" s="1">
        <v>1</v>
      </c>
      <c r="J37" s="1">
        <v>0.59319480000000002</v>
      </c>
      <c r="K37" s="1" t="s">
        <v>47</v>
      </c>
      <c r="L37" s="1">
        <v>7</v>
      </c>
      <c r="M37" s="1">
        <v>1</v>
      </c>
      <c r="N37" s="1">
        <v>29</v>
      </c>
      <c r="O37" s="1">
        <v>2</v>
      </c>
      <c r="P37" s="1">
        <v>31.089375499999999</v>
      </c>
      <c r="Q37" s="1"/>
      <c r="R37" s="1"/>
      <c r="S37" s="1"/>
      <c r="T37" s="1"/>
      <c r="U37" s="1"/>
      <c r="V37" s="1">
        <v>31.077685599999999</v>
      </c>
      <c r="W37" s="1">
        <v>31.089375499999999</v>
      </c>
      <c r="X37" s="1">
        <v>31.5724728</v>
      </c>
      <c r="Y37" s="1">
        <v>31.5724728</v>
      </c>
      <c r="Z37" s="1">
        <v>31.5724728</v>
      </c>
      <c r="AA37" s="1">
        <v>32.172962699999999</v>
      </c>
      <c r="AB37" s="1" t="s">
        <v>46</v>
      </c>
      <c r="AC37" s="1">
        <v>1</v>
      </c>
      <c r="AD37" s="1">
        <v>0.59319480000000002</v>
      </c>
      <c r="AE37" s="1" t="s">
        <v>47</v>
      </c>
      <c r="AF37" s="1"/>
      <c r="AG37" s="1"/>
      <c r="AH37" s="1"/>
      <c r="AI37" s="1"/>
      <c r="AJ37" s="1">
        <v>1</v>
      </c>
      <c r="AK37" s="1">
        <v>1</v>
      </c>
      <c r="AL37" s="1" t="s">
        <v>56</v>
      </c>
      <c r="AM37" s="1" t="s">
        <v>49</v>
      </c>
      <c r="AN37" s="1"/>
      <c r="AO37" s="1" t="s">
        <v>50</v>
      </c>
      <c r="AP37" s="1">
        <v>59.998764020000003</v>
      </c>
      <c r="AQ37" s="1" t="s">
        <v>57</v>
      </c>
      <c r="AR37" s="1"/>
      <c r="AS37" s="1"/>
      <c r="AT37" s="1"/>
    </row>
    <row r="38" spans="1:46" x14ac:dyDescent="0.35">
      <c r="A38" s="1" t="s">
        <v>43</v>
      </c>
      <c r="B38" s="1" t="s">
        <v>53</v>
      </c>
      <c r="C38" s="1" t="s">
        <v>55</v>
      </c>
      <c r="D38" s="1" t="s">
        <v>54</v>
      </c>
      <c r="E38" s="1">
        <v>32</v>
      </c>
      <c r="F38" s="1">
        <v>0</v>
      </c>
      <c r="G38" s="1">
        <v>8</v>
      </c>
      <c r="H38" s="1" t="s">
        <v>54</v>
      </c>
      <c r="I38" s="1">
        <v>1</v>
      </c>
      <c r="J38" s="1">
        <v>0.37325910000000001</v>
      </c>
      <c r="K38" s="1" t="s">
        <v>47</v>
      </c>
      <c r="L38" s="1">
        <v>8</v>
      </c>
      <c r="M38" s="1">
        <v>0</v>
      </c>
      <c r="N38" s="1">
        <v>32</v>
      </c>
      <c r="O38" s="1">
        <v>1</v>
      </c>
      <c r="P38" s="1">
        <v>34.1530621</v>
      </c>
      <c r="Q38" s="1"/>
      <c r="R38" s="1"/>
      <c r="S38" s="1"/>
      <c r="T38" s="1"/>
      <c r="U38" s="1"/>
      <c r="V38" s="1">
        <v>34.149286699999998</v>
      </c>
      <c r="W38" s="1">
        <v>34.1530621</v>
      </c>
      <c r="X38" s="1">
        <v>34.555941400000002</v>
      </c>
      <c r="Y38" s="1">
        <v>34.555941400000002</v>
      </c>
      <c r="Z38" s="1">
        <v>34.555941400000002</v>
      </c>
      <c r="AA38" s="1">
        <v>34.939873499999997</v>
      </c>
      <c r="AB38" s="1" t="s">
        <v>54</v>
      </c>
      <c r="AC38" s="1">
        <v>1</v>
      </c>
      <c r="AD38" s="1">
        <v>0.37325910000000001</v>
      </c>
      <c r="AE38" s="1" t="s">
        <v>47</v>
      </c>
      <c r="AF38" s="1"/>
      <c r="AG38" s="1"/>
      <c r="AH38" s="1"/>
      <c r="AI38" s="1"/>
      <c r="AJ38" s="1">
        <v>1</v>
      </c>
      <c r="AK38" s="1">
        <v>1</v>
      </c>
      <c r="AL38" s="1" t="s">
        <v>56</v>
      </c>
      <c r="AM38" s="1" t="s">
        <v>49</v>
      </c>
      <c r="AN38" s="1"/>
      <c r="AO38" s="1" t="s">
        <v>50</v>
      </c>
      <c r="AP38" s="1">
        <v>59.998764020000003</v>
      </c>
      <c r="AQ38" s="1" t="s">
        <v>57</v>
      </c>
      <c r="AR38" s="1"/>
      <c r="AS38" s="1"/>
      <c r="AT38" s="1"/>
    </row>
    <row r="39" spans="1:46" x14ac:dyDescent="0.35">
      <c r="A39" s="1" t="s">
        <v>52</v>
      </c>
      <c r="B39" s="1" t="s">
        <v>44</v>
      </c>
      <c r="C39" s="1" t="s">
        <v>55</v>
      </c>
      <c r="D39" s="1" t="s">
        <v>46</v>
      </c>
      <c r="E39" s="1">
        <v>34</v>
      </c>
      <c r="F39" s="1">
        <v>2</v>
      </c>
      <c r="G39" s="1">
        <v>8</v>
      </c>
      <c r="H39" s="1" t="s">
        <v>46</v>
      </c>
      <c r="I39" s="1">
        <v>1</v>
      </c>
      <c r="J39" s="1">
        <v>0.49760959999999999</v>
      </c>
      <c r="K39" s="1" t="s">
        <v>47</v>
      </c>
      <c r="L39" s="1">
        <v>8</v>
      </c>
      <c r="M39" s="1">
        <v>2</v>
      </c>
      <c r="N39" s="1">
        <v>34</v>
      </c>
      <c r="O39" s="1">
        <v>2</v>
      </c>
      <c r="P39" s="1">
        <v>35.805602800000003</v>
      </c>
      <c r="Q39" s="1"/>
      <c r="R39" s="1"/>
      <c r="S39" s="1"/>
      <c r="T39" s="1"/>
      <c r="U39" s="1"/>
      <c r="V39" s="1">
        <v>35.790551100000002</v>
      </c>
      <c r="W39" s="1">
        <v>35.805602800000003</v>
      </c>
      <c r="X39" s="1">
        <v>36.288858300000001</v>
      </c>
      <c r="Y39" s="1">
        <v>36.288858300000001</v>
      </c>
      <c r="Z39" s="1">
        <v>36.288858300000001</v>
      </c>
      <c r="AA39" s="1">
        <v>36.7896085</v>
      </c>
      <c r="AB39" s="1" t="s">
        <v>46</v>
      </c>
      <c r="AC39" s="1">
        <v>1</v>
      </c>
      <c r="AD39" s="1">
        <v>0.49760959999999999</v>
      </c>
      <c r="AE39" s="1" t="s">
        <v>47</v>
      </c>
      <c r="AF39" s="1"/>
      <c r="AG39" s="1"/>
      <c r="AH39" s="1"/>
      <c r="AI39" s="1"/>
      <c r="AJ39" s="1">
        <v>1</v>
      </c>
      <c r="AK39" s="1">
        <v>1</v>
      </c>
      <c r="AL39" s="1" t="s">
        <v>56</v>
      </c>
      <c r="AM39" s="1" t="s">
        <v>49</v>
      </c>
      <c r="AN39" s="1"/>
      <c r="AO39" s="1" t="s">
        <v>50</v>
      </c>
      <c r="AP39" s="1">
        <v>59.998764020000003</v>
      </c>
      <c r="AQ39" s="1" t="s">
        <v>57</v>
      </c>
      <c r="AR39" s="1"/>
      <c r="AS39" s="1"/>
      <c r="AT39" s="1"/>
    </row>
    <row r="40" spans="1:46" x14ac:dyDescent="0.35">
      <c r="A40" s="1" t="s">
        <v>43</v>
      </c>
      <c r="B40" s="1" t="s">
        <v>53</v>
      </c>
      <c r="C40" s="1" t="s">
        <v>55</v>
      </c>
      <c r="D40" s="1" t="s">
        <v>54</v>
      </c>
      <c r="E40" s="1">
        <v>36</v>
      </c>
      <c r="F40" s="1">
        <v>0</v>
      </c>
      <c r="G40" s="1">
        <v>9</v>
      </c>
      <c r="H40" s="1" t="s">
        <v>54</v>
      </c>
      <c r="I40" s="1">
        <v>1</v>
      </c>
      <c r="J40" s="1">
        <v>0.65496129999999997</v>
      </c>
      <c r="K40" s="1" t="s">
        <v>47</v>
      </c>
      <c r="L40" s="1">
        <v>9</v>
      </c>
      <c r="M40" s="1">
        <v>0</v>
      </c>
      <c r="N40" s="1">
        <v>36</v>
      </c>
      <c r="O40" s="1">
        <v>1</v>
      </c>
      <c r="P40" s="1">
        <v>37.67221</v>
      </c>
      <c r="Q40" s="1"/>
      <c r="R40" s="1"/>
      <c r="S40" s="1"/>
      <c r="T40" s="1"/>
      <c r="U40" s="1"/>
      <c r="V40" s="1">
        <v>37.658219799999998</v>
      </c>
      <c r="W40" s="1">
        <v>37.67221</v>
      </c>
      <c r="X40" s="1">
        <v>38.1722015</v>
      </c>
      <c r="Y40" s="1">
        <v>38.1722015</v>
      </c>
      <c r="Z40" s="1">
        <v>38.1722015</v>
      </c>
      <c r="AA40" s="1">
        <v>38.839505099999997</v>
      </c>
      <c r="AB40" s="1" t="s">
        <v>54</v>
      </c>
      <c r="AC40" s="1">
        <v>1</v>
      </c>
      <c r="AD40" s="1">
        <v>0.65496129999999997</v>
      </c>
      <c r="AE40" s="1" t="s">
        <v>47</v>
      </c>
      <c r="AF40" s="1"/>
      <c r="AG40" s="1"/>
      <c r="AH40" s="1"/>
      <c r="AI40" s="1"/>
      <c r="AJ40" s="1">
        <v>1</v>
      </c>
      <c r="AK40" s="1">
        <v>1</v>
      </c>
      <c r="AL40" s="1" t="s">
        <v>56</v>
      </c>
      <c r="AM40" s="1" t="s">
        <v>49</v>
      </c>
      <c r="AN40" s="1"/>
      <c r="AO40" s="1" t="s">
        <v>50</v>
      </c>
      <c r="AP40" s="1">
        <v>59.998764020000003</v>
      </c>
      <c r="AQ40" s="1" t="s">
        <v>57</v>
      </c>
      <c r="AR40" s="1"/>
      <c r="AS40" s="1"/>
      <c r="AT40" s="1"/>
    </row>
    <row r="41" spans="1:46" x14ac:dyDescent="0.35">
      <c r="A41" s="1" t="s">
        <v>52</v>
      </c>
      <c r="B41" s="1" t="s">
        <v>44</v>
      </c>
      <c r="C41" s="1" t="s">
        <v>55</v>
      </c>
      <c r="D41" s="1" t="s">
        <v>46</v>
      </c>
      <c r="E41" s="1">
        <v>39</v>
      </c>
      <c r="F41" s="1">
        <v>3</v>
      </c>
      <c r="G41" s="1">
        <v>9</v>
      </c>
      <c r="H41" s="1" t="s">
        <v>46</v>
      </c>
      <c r="I41" s="1">
        <v>1</v>
      </c>
      <c r="J41" s="1">
        <v>0.39505669999999998</v>
      </c>
      <c r="K41" s="1" t="s">
        <v>47</v>
      </c>
      <c r="L41" s="1">
        <v>9</v>
      </c>
      <c r="M41" s="1">
        <v>3</v>
      </c>
      <c r="N41" s="1">
        <v>39</v>
      </c>
      <c r="O41" s="1">
        <v>2</v>
      </c>
      <c r="P41" s="1">
        <v>40.7720384</v>
      </c>
      <c r="Q41" s="1"/>
      <c r="R41" s="1"/>
      <c r="S41" s="1"/>
      <c r="T41" s="1"/>
      <c r="U41" s="1"/>
      <c r="V41" s="1">
        <v>40.7601838</v>
      </c>
      <c r="W41" s="1">
        <v>40.7720384</v>
      </c>
      <c r="X41" s="1">
        <v>41.2554789</v>
      </c>
      <c r="Y41" s="1">
        <v>41.2554789</v>
      </c>
      <c r="Z41" s="1">
        <v>41.2554789</v>
      </c>
      <c r="AA41" s="1">
        <v>41.656022900000004</v>
      </c>
      <c r="AB41" s="1" t="s">
        <v>46</v>
      </c>
      <c r="AC41" s="1">
        <v>1</v>
      </c>
      <c r="AD41" s="1">
        <v>0.39505669999999998</v>
      </c>
      <c r="AE41" s="1" t="s">
        <v>47</v>
      </c>
      <c r="AF41" s="1"/>
      <c r="AG41" s="1"/>
      <c r="AH41" s="1"/>
      <c r="AI41" s="1"/>
      <c r="AJ41" s="1">
        <v>1</v>
      </c>
      <c r="AK41" s="1">
        <v>1</v>
      </c>
      <c r="AL41" s="1" t="s">
        <v>56</v>
      </c>
      <c r="AM41" s="1" t="s">
        <v>49</v>
      </c>
      <c r="AN41" s="1"/>
      <c r="AO41" s="1" t="s">
        <v>50</v>
      </c>
      <c r="AP41" s="1">
        <v>59.998764020000003</v>
      </c>
      <c r="AQ41" s="1" t="s">
        <v>57</v>
      </c>
      <c r="AR41" s="1"/>
      <c r="AS41" s="1"/>
      <c r="AT41" s="1"/>
    </row>
    <row r="42" spans="1:46" x14ac:dyDescent="0.35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>
        <v>2.7946999999999998E-3</v>
      </c>
      <c r="S42" s="1">
        <v>6.3163999999999998E-3</v>
      </c>
      <c r="T42" s="1">
        <v>2.0090457000000002</v>
      </c>
      <c r="U42" s="1">
        <v>1.9908288999999999</v>
      </c>
      <c r="V42" s="1"/>
      <c r="W42" s="1"/>
      <c r="X42" s="1"/>
      <c r="Y42" s="1"/>
      <c r="Z42" s="1"/>
      <c r="AA42" s="1"/>
      <c r="AB42" s="1"/>
      <c r="AC42" s="1"/>
      <c r="AD42" s="1"/>
      <c r="AE42" s="1"/>
      <c r="AF42" s="1"/>
      <c r="AG42" s="1"/>
      <c r="AH42" s="1"/>
      <c r="AI42" s="1"/>
      <c r="AJ42" s="1">
        <v>1</v>
      </c>
      <c r="AK42" s="1">
        <v>1</v>
      </c>
      <c r="AL42" s="1" t="s">
        <v>56</v>
      </c>
      <c r="AM42" s="1" t="s">
        <v>49</v>
      </c>
      <c r="AN42" s="1"/>
      <c r="AO42" s="1" t="s">
        <v>50</v>
      </c>
      <c r="AP42" s="1">
        <v>59.998764020000003</v>
      </c>
      <c r="AQ42" s="1" t="s">
        <v>57</v>
      </c>
      <c r="AR42" s="1"/>
      <c r="AS42" s="1"/>
      <c r="AT42" s="1"/>
    </row>
    <row r="43" spans="1:46" x14ac:dyDescent="0.35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  <c r="AB43" s="1"/>
      <c r="AC43" s="1"/>
      <c r="AD43" s="1"/>
      <c r="AE43" s="1"/>
      <c r="AF43" s="1">
        <v>41.656227700000002</v>
      </c>
      <c r="AG43" s="1">
        <v>41.672009799999998</v>
      </c>
      <c r="AH43" s="1">
        <v>43.671956799999997</v>
      </c>
      <c r="AI43" s="1">
        <v>43.656127400000003</v>
      </c>
      <c r="AJ43" s="1">
        <v>1</v>
      </c>
      <c r="AK43" s="1">
        <v>1</v>
      </c>
      <c r="AL43" s="1" t="s">
        <v>56</v>
      </c>
      <c r="AM43" s="1" t="s">
        <v>49</v>
      </c>
      <c r="AN43" s="1"/>
      <c r="AO43" s="1" t="s">
        <v>50</v>
      </c>
      <c r="AP43" s="1">
        <v>59.998764020000003</v>
      </c>
      <c r="AQ43" s="1" t="s">
        <v>57</v>
      </c>
      <c r="AR43" s="1"/>
      <c r="AS43" s="1"/>
      <c r="AT43" s="1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C3CE95-4D49-4294-B629-DD893449F40D}">
  <dimension ref="A1:AS43"/>
  <sheetViews>
    <sheetView topLeftCell="A22" workbookViewId="0">
      <selection activeCell="I23" sqref="I23:I42"/>
    </sheetView>
  </sheetViews>
  <sheetFormatPr defaultRowHeight="14.5" x14ac:dyDescent="0.35"/>
  <sheetData>
    <row r="1" spans="1:45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20</v>
      </c>
      <c r="U1" s="1" t="s">
        <v>21</v>
      </c>
      <c r="V1" s="1" t="s">
        <v>22</v>
      </c>
      <c r="W1" s="1" t="s">
        <v>23</v>
      </c>
      <c r="X1" s="1" t="s">
        <v>24</v>
      </c>
      <c r="Y1" s="1" t="s">
        <v>25</v>
      </c>
      <c r="Z1" s="1" t="s">
        <v>26</v>
      </c>
      <c r="AA1" s="1" t="s">
        <v>27</v>
      </c>
      <c r="AB1" s="1" t="s">
        <v>28</v>
      </c>
      <c r="AC1" s="1" t="s">
        <v>29</v>
      </c>
      <c r="AD1" s="1" t="s">
        <v>30</v>
      </c>
      <c r="AE1" s="1" t="s">
        <v>31</v>
      </c>
      <c r="AF1" s="1" t="s">
        <v>32</v>
      </c>
      <c r="AG1" s="1" t="s">
        <v>33</v>
      </c>
      <c r="AH1" s="1" t="s">
        <v>34</v>
      </c>
      <c r="AI1" s="1" t="s">
        <v>35</v>
      </c>
      <c r="AJ1" s="1" t="s">
        <v>36</v>
      </c>
      <c r="AK1" s="1" t="s">
        <v>37</v>
      </c>
      <c r="AL1" s="1" t="s">
        <v>38</v>
      </c>
      <c r="AM1" s="1" t="s">
        <v>39</v>
      </c>
      <c r="AN1" s="1" t="s">
        <v>40</v>
      </c>
      <c r="AO1" s="1" t="s">
        <v>41</v>
      </c>
      <c r="AP1" s="1" t="s">
        <v>42</v>
      </c>
      <c r="AQ1" s="1"/>
      <c r="AR1" s="1"/>
      <c r="AS1" s="1"/>
    </row>
    <row r="2" spans="1:45" x14ac:dyDescent="0.35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>
        <v>3.5821999999999998E-3</v>
      </c>
      <c r="S2" s="1">
        <v>7.2903999999999998E-3</v>
      </c>
      <c r="T2" s="1">
        <v>2.0034825000000001</v>
      </c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>
        <v>3</v>
      </c>
      <c r="AJ2" s="1">
        <v>1</v>
      </c>
      <c r="AK2" s="1" t="s">
        <v>58</v>
      </c>
      <c r="AL2" s="1" t="s">
        <v>49</v>
      </c>
      <c r="AM2" s="1"/>
      <c r="AN2" s="1" t="s">
        <v>50</v>
      </c>
      <c r="AO2" s="1">
        <v>60.02851356</v>
      </c>
      <c r="AP2" s="1" t="s">
        <v>59</v>
      </c>
      <c r="AQ2" s="1"/>
      <c r="AR2" s="1"/>
      <c r="AS2" s="1"/>
    </row>
    <row r="3" spans="1:45" x14ac:dyDescent="0.35">
      <c r="A3" s="1" t="s">
        <v>52</v>
      </c>
      <c r="B3" s="1" t="s">
        <v>53</v>
      </c>
      <c r="C3" s="1" t="s">
        <v>45</v>
      </c>
      <c r="D3" s="1" t="s">
        <v>54</v>
      </c>
      <c r="E3" s="1">
        <v>1</v>
      </c>
      <c r="F3" s="1">
        <v>1</v>
      </c>
      <c r="G3" s="1">
        <v>0</v>
      </c>
      <c r="H3" s="1" t="s">
        <v>54</v>
      </c>
      <c r="I3" s="1">
        <v>1</v>
      </c>
      <c r="J3" s="1">
        <v>0.47307519999999997</v>
      </c>
      <c r="K3" s="1" t="s">
        <v>47</v>
      </c>
      <c r="L3" s="1">
        <v>0</v>
      </c>
      <c r="M3" s="1">
        <v>1</v>
      </c>
      <c r="N3" s="1">
        <v>1</v>
      </c>
      <c r="O3" s="1">
        <v>3</v>
      </c>
      <c r="P3" s="1">
        <v>3.2863964999999999</v>
      </c>
      <c r="Q3" s="1"/>
      <c r="R3" s="1"/>
      <c r="S3" s="1"/>
      <c r="T3" s="1"/>
      <c r="U3" s="1">
        <v>2.0257375999999998</v>
      </c>
      <c r="V3" s="1">
        <v>2.0297477000000002</v>
      </c>
      <c r="W3" s="1">
        <v>2.5031474</v>
      </c>
      <c r="X3" s="1">
        <v>2.5031474</v>
      </c>
      <c r="Y3" s="1">
        <v>2.5031474</v>
      </c>
      <c r="Z3" s="1">
        <v>3.2755466000000002</v>
      </c>
      <c r="AA3" s="1" t="s">
        <v>46</v>
      </c>
      <c r="AB3" s="1">
        <v>1</v>
      </c>
      <c r="AC3" s="1">
        <v>0.76464540000000003</v>
      </c>
      <c r="AD3" s="1" t="s">
        <v>47</v>
      </c>
      <c r="AE3" s="1"/>
      <c r="AF3" s="1"/>
      <c r="AG3" s="1"/>
      <c r="AH3" s="1"/>
      <c r="AI3" s="1">
        <v>3</v>
      </c>
      <c r="AJ3" s="1">
        <v>1</v>
      </c>
      <c r="AK3" s="1" t="s">
        <v>58</v>
      </c>
      <c r="AL3" s="1" t="s">
        <v>49</v>
      </c>
      <c r="AM3" s="1"/>
      <c r="AN3" s="1" t="s">
        <v>50</v>
      </c>
      <c r="AO3" s="1">
        <v>60.02851356</v>
      </c>
      <c r="AP3" s="1" t="s">
        <v>59</v>
      </c>
      <c r="AQ3" s="1"/>
      <c r="AR3" s="1"/>
      <c r="AS3" s="1"/>
    </row>
    <row r="4" spans="1:45" x14ac:dyDescent="0.35">
      <c r="A4" s="1" t="s">
        <v>43</v>
      </c>
      <c r="B4" s="1" t="s">
        <v>44</v>
      </c>
      <c r="C4" s="1" t="s">
        <v>45</v>
      </c>
      <c r="D4" s="1" t="s">
        <v>46</v>
      </c>
      <c r="E4" s="1">
        <v>3</v>
      </c>
      <c r="F4" s="1">
        <v>3</v>
      </c>
      <c r="G4" s="1">
        <v>0</v>
      </c>
      <c r="H4" s="1" t="s">
        <v>46</v>
      </c>
      <c r="I4" s="1">
        <v>1</v>
      </c>
      <c r="J4" s="1">
        <v>0.49708770000000002</v>
      </c>
      <c r="K4" s="1" t="s">
        <v>47</v>
      </c>
      <c r="L4" s="1">
        <v>0</v>
      </c>
      <c r="M4" s="1">
        <v>3</v>
      </c>
      <c r="N4" s="1">
        <v>3</v>
      </c>
      <c r="O4" s="1">
        <v>0</v>
      </c>
      <c r="P4" s="1">
        <v>5.1696546999999997</v>
      </c>
      <c r="Q4" s="1"/>
      <c r="R4" s="1"/>
      <c r="S4" s="1"/>
      <c r="T4" s="1"/>
      <c r="U4" s="1">
        <v>3.2760935</v>
      </c>
      <c r="V4" s="1">
        <v>3.2863964999999999</v>
      </c>
      <c r="W4" s="1">
        <v>3.786375</v>
      </c>
      <c r="X4" s="1">
        <v>3.786375</v>
      </c>
      <c r="Y4" s="1">
        <v>3.786375</v>
      </c>
      <c r="Z4" s="1">
        <v>4.2703682000000001</v>
      </c>
      <c r="AA4" s="1" t="s">
        <v>54</v>
      </c>
      <c r="AB4" s="1">
        <v>1</v>
      </c>
      <c r="AC4" s="1">
        <v>0.47307519999999997</v>
      </c>
      <c r="AD4" s="1" t="s">
        <v>47</v>
      </c>
      <c r="AE4" s="1"/>
      <c r="AF4" s="1"/>
      <c r="AG4" s="1"/>
      <c r="AH4" s="1"/>
      <c r="AI4" s="1">
        <v>3</v>
      </c>
      <c r="AJ4" s="1">
        <v>1</v>
      </c>
      <c r="AK4" s="1" t="s">
        <v>58</v>
      </c>
      <c r="AL4" s="1" t="s">
        <v>49</v>
      </c>
      <c r="AM4" s="1"/>
      <c r="AN4" s="1" t="s">
        <v>50</v>
      </c>
      <c r="AO4" s="1">
        <v>60.02851356</v>
      </c>
      <c r="AP4" s="1" t="s">
        <v>59</v>
      </c>
      <c r="AQ4" s="1"/>
      <c r="AR4" s="1"/>
      <c r="AS4" s="1"/>
    </row>
    <row r="5" spans="1:45" x14ac:dyDescent="0.35">
      <c r="A5" s="1" t="s">
        <v>52</v>
      </c>
      <c r="B5" s="1" t="s">
        <v>53</v>
      </c>
      <c r="C5" s="1" t="s">
        <v>45</v>
      </c>
      <c r="D5" s="1" t="s">
        <v>54</v>
      </c>
      <c r="E5" s="1">
        <v>5</v>
      </c>
      <c r="F5" s="1">
        <v>1</v>
      </c>
      <c r="G5" s="1">
        <v>1</v>
      </c>
      <c r="H5" s="1" t="s">
        <v>54</v>
      </c>
      <c r="I5" s="1">
        <v>1</v>
      </c>
      <c r="J5" s="1">
        <v>0.33961229999999998</v>
      </c>
      <c r="K5" s="1" t="s">
        <v>47</v>
      </c>
      <c r="L5" s="1">
        <v>1</v>
      </c>
      <c r="M5" s="1">
        <v>1</v>
      </c>
      <c r="N5" s="1">
        <v>5</v>
      </c>
      <c r="O5" s="1">
        <v>3</v>
      </c>
      <c r="P5" s="1">
        <v>7.0545330999999996</v>
      </c>
      <c r="Q5" s="1"/>
      <c r="R5" s="1"/>
      <c r="S5" s="1"/>
      <c r="T5" s="1"/>
      <c r="U5" s="1">
        <v>4.2760499999999997</v>
      </c>
      <c r="V5" s="1">
        <v>4.2862327999999996</v>
      </c>
      <c r="W5" s="1">
        <v>4.7697694000000004</v>
      </c>
      <c r="X5" s="1">
        <v>4.7697694000000004</v>
      </c>
      <c r="Y5" s="1">
        <v>4.7697694000000004</v>
      </c>
      <c r="Z5" s="1">
        <v>5.1535019999999996</v>
      </c>
      <c r="AA5" s="1" t="s">
        <v>54</v>
      </c>
      <c r="AB5" s="1">
        <v>1</v>
      </c>
      <c r="AC5" s="1">
        <v>0.38003429999999999</v>
      </c>
      <c r="AD5" s="1" t="s">
        <v>47</v>
      </c>
      <c r="AE5" s="1"/>
      <c r="AF5" s="1"/>
      <c r="AG5" s="1"/>
      <c r="AH5" s="1"/>
      <c r="AI5" s="1">
        <v>3</v>
      </c>
      <c r="AJ5" s="1">
        <v>1</v>
      </c>
      <c r="AK5" s="1" t="s">
        <v>58</v>
      </c>
      <c r="AL5" s="1" t="s">
        <v>49</v>
      </c>
      <c r="AM5" s="1"/>
      <c r="AN5" s="1" t="s">
        <v>50</v>
      </c>
      <c r="AO5" s="1">
        <v>60.02851356</v>
      </c>
      <c r="AP5" s="1" t="s">
        <v>59</v>
      </c>
      <c r="AQ5" s="1"/>
      <c r="AR5" s="1"/>
      <c r="AS5" s="1"/>
    </row>
    <row r="6" spans="1:45" x14ac:dyDescent="0.35">
      <c r="A6" s="1" t="s">
        <v>43</v>
      </c>
      <c r="B6" s="1" t="s">
        <v>44</v>
      </c>
      <c r="C6" s="1" t="s">
        <v>45</v>
      </c>
      <c r="D6" s="1" t="s">
        <v>46</v>
      </c>
      <c r="E6" s="1">
        <v>6</v>
      </c>
      <c r="F6" s="1">
        <v>2</v>
      </c>
      <c r="G6" s="1">
        <v>1</v>
      </c>
      <c r="H6" s="1" t="s">
        <v>46</v>
      </c>
      <c r="I6" s="1">
        <v>1</v>
      </c>
      <c r="J6" s="1">
        <v>0.41209000000000001</v>
      </c>
      <c r="K6" s="1" t="s">
        <v>47</v>
      </c>
      <c r="L6" s="1">
        <v>1</v>
      </c>
      <c r="M6" s="1">
        <v>2</v>
      </c>
      <c r="N6" s="1">
        <v>6</v>
      </c>
      <c r="O6" s="1">
        <v>0</v>
      </c>
      <c r="P6" s="1">
        <v>7.9029299000000002</v>
      </c>
      <c r="Q6" s="1"/>
      <c r="R6" s="1"/>
      <c r="S6" s="1"/>
      <c r="T6" s="1"/>
      <c r="U6" s="1">
        <v>5.1542095000000003</v>
      </c>
      <c r="V6" s="1">
        <v>5.1696546999999997</v>
      </c>
      <c r="W6" s="1">
        <v>5.6529547000000004</v>
      </c>
      <c r="X6" s="1">
        <v>5.6529547000000004</v>
      </c>
      <c r="Y6" s="1">
        <v>5.6529547000000004</v>
      </c>
      <c r="Z6" s="1">
        <v>6.1535789000000003</v>
      </c>
      <c r="AA6" s="1" t="s">
        <v>46</v>
      </c>
      <c r="AB6" s="1">
        <v>1</v>
      </c>
      <c r="AC6" s="1">
        <v>0.49708770000000002</v>
      </c>
      <c r="AD6" s="1" t="s">
        <v>47</v>
      </c>
      <c r="AE6" s="1"/>
      <c r="AF6" s="1"/>
      <c r="AG6" s="1"/>
      <c r="AH6" s="1"/>
      <c r="AI6" s="1">
        <v>3</v>
      </c>
      <c r="AJ6" s="1">
        <v>1</v>
      </c>
      <c r="AK6" s="1" t="s">
        <v>58</v>
      </c>
      <c r="AL6" s="1" t="s">
        <v>49</v>
      </c>
      <c r="AM6" s="1"/>
      <c r="AN6" s="1" t="s">
        <v>50</v>
      </c>
      <c r="AO6" s="1">
        <v>60.02851356</v>
      </c>
      <c r="AP6" s="1" t="s">
        <v>59</v>
      </c>
      <c r="AQ6" s="1"/>
      <c r="AR6" s="1"/>
      <c r="AS6" s="1"/>
    </row>
    <row r="7" spans="1:45" x14ac:dyDescent="0.35">
      <c r="A7" s="1" t="s">
        <v>52</v>
      </c>
      <c r="B7" s="1" t="s">
        <v>53</v>
      </c>
      <c r="C7" s="1" t="s">
        <v>45</v>
      </c>
      <c r="D7" s="1" t="s">
        <v>54</v>
      </c>
      <c r="E7" s="1">
        <v>10</v>
      </c>
      <c r="F7" s="1">
        <v>2</v>
      </c>
      <c r="G7" s="1">
        <v>2</v>
      </c>
      <c r="H7" s="1" t="s">
        <v>54</v>
      </c>
      <c r="I7" s="1">
        <v>1</v>
      </c>
      <c r="J7" s="1">
        <v>0.34915479999999999</v>
      </c>
      <c r="K7" s="1" t="s">
        <v>47</v>
      </c>
      <c r="L7" s="1">
        <v>2</v>
      </c>
      <c r="M7" s="1">
        <v>2</v>
      </c>
      <c r="N7" s="1">
        <v>10</v>
      </c>
      <c r="O7" s="1">
        <v>3</v>
      </c>
      <c r="P7" s="1">
        <v>11.852697300000001</v>
      </c>
      <c r="Q7" s="1"/>
      <c r="R7" s="1"/>
      <c r="S7" s="1"/>
      <c r="T7" s="1"/>
      <c r="U7" s="1">
        <v>6.1574517999999996</v>
      </c>
      <c r="V7" s="1">
        <v>6.1697867000000004</v>
      </c>
      <c r="W7" s="1">
        <v>6.6529758000000001</v>
      </c>
      <c r="X7" s="1">
        <v>6.6529758000000001</v>
      </c>
      <c r="Y7" s="1">
        <v>6.6529758000000001</v>
      </c>
      <c r="Z7" s="1">
        <v>7.0367381</v>
      </c>
      <c r="AA7" s="1" t="s">
        <v>46</v>
      </c>
      <c r="AB7" s="1">
        <v>1</v>
      </c>
      <c r="AC7" s="1">
        <v>0.3811389</v>
      </c>
      <c r="AD7" s="1" t="s">
        <v>47</v>
      </c>
      <c r="AE7" s="1"/>
      <c r="AF7" s="1"/>
      <c r="AG7" s="1"/>
      <c r="AH7" s="1"/>
      <c r="AI7" s="1">
        <v>3</v>
      </c>
      <c r="AJ7" s="1">
        <v>1</v>
      </c>
      <c r="AK7" s="1" t="s">
        <v>58</v>
      </c>
      <c r="AL7" s="1" t="s">
        <v>49</v>
      </c>
      <c r="AM7" s="1"/>
      <c r="AN7" s="1" t="s">
        <v>50</v>
      </c>
      <c r="AO7" s="1">
        <v>60.02851356</v>
      </c>
      <c r="AP7" s="1" t="s">
        <v>59</v>
      </c>
      <c r="AQ7" s="1"/>
      <c r="AR7" s="1"/>
      <c r="AS7" s="1"/>
    </row>
    <row r="8" spans="1:45" x14ac:dyDescent="0.35">
      <c r="A8" s="1" t="s">
        <v>43</v>
      </c>
      <c r="B8" s="1" t="s">
        <v>44</v>
      </c>
      <c r="C8" s="1" t="s">
        <v>45</v>
      </c>
      <c r="D8" s="1" t="s">
        <v>46</v>
      </c>
      <c r="E8" s="1">
        <v>11</v>
      </c>
      <c r="F8" s="1">
        <v>3</v>
      </c>
      <c r="G8" s="1">
        <v>2</v>
      </c>
      <c r="H8" s="1" t="s">
        <v>46</v>
      </c>
      <c r="I8" s="1">
        <v>1</v>
      </c>
      <c r="J8" s="1">
        <v>0.43833850000000002</v>
      </c>
      <c r="K8" s="1" t="s">
        <v>47</v>
      </c>
      <c r="L8" s="1">
        <v>2</v>
      </c>
      <c r="M8" s="1">
        <v>3</v>
      </c>
      <c r="N8" s="1">
        <v>11</v>
      </c>
      <c r="O8" s="1">
        <v>0</v>
      </c>
      <c r="P8" s="1">
        <v>12.702705999999999</v>
      </c>
      <c r="Q8" s="1"/>
      <c r="R8" s="1"/>
      <c r="S8" s="1"/>
      <c r="T8" s="1"/>
      <c r="U8" s="1">
        <v>7.0372721</v>
      </c>
      <c r="V8" s="1">
        <v>7.0545330999999996</v>
      </c>
      <c r="W8" s="1">
        <v>7.5361222999999997</v>
      </c>
      <c r="X8" s="1">
        <v>7.5361222999999997</v>
      </c>
      <c r="Y8" s="1">
        <v>7.5361222999999997</v>
      </c>
      <c r="Z8" s="1">
        <v>7.8868423999999999</v>
      </c>
      <c r="AA8" s="1" t="s">
        <v>54</v>
      </c>
      <c r="AB8" s="1">
        <v>1</v>
      </c>
      <c r="AC8" s="1">
        <v>0.33961229999999998</v>
      </c>
      <c r="AD8" s="1" t="s">
        <v>47</v>
      </c>
      <c r="AE8" s="1"/>
      <c r="AF8" s="1"/>
      <c r="AG8" s="1"/>
      <c r="AH8" s="1"/>
      <c r="AI8" s="1">
        <v>3</v>
      </c>
      <c r="AJ8" s="1">
        <v>1</v>
      </c>
      <c r="AK8" s="1" t="s">
        <v>58</v>
      </c>
      <c r="AL8" s="1" t="s">
        <v>49</v>
      </c>
      <c r="AM8" s="1"/>
      <c r="AN8" s="1" t="s">
        <v>50</v>
      </c>
      <c r="AO8" s="1">
        <v>60.02851356</v>
      </c>
      <c r="AP8" s="1" t="s">
        <v>59</v>
      </c>
      <c r="AQ8" s="1"/>
      <c r="AR8" s="1"/>
      <c r="AS8" s="1"/>
    </row>
    <row r="9" spans="1:45" x14ac:dyDescent="0.35">
      <c r="A9" s="1" t="s">
        <v>52</v>
      </c>
      <c r="B9" s="1" t="s">
        <v>53</v>
      </c>
      <c r="C9" s="1" t="s">
        <v>45</v>
      </c>
      <c r="D9" s="1" t="s">
        <v>54</v>
      </c>
      <c r="E9" s="1">
        <v>14</v>
      </c>
      <c r="F9" s="1">
        <v>2</v>
      </c>
      <c r="G9" s="1">
        <v>3</v>
      </c>
      <c r="H9" s="1" t="s">
        <v>54</v>
      </c>
      <c r="I9" s="1">
        <v>1</v>
      </c>
      <c r="J9" s="1">
        <v>0.62631020000000004</v>
      </c>
      <c r="K9" s="1" t="s">
        <v>47</v>
      </c>
      <c r="L9" s="1">
        <v>3</v>
      </c>
      <c r="M9" s="1">
        <v>2</v>
      </c>
      <c r="N9" s="1">
        <v>14</v>
      </c>
      <c r="O9" s="1">
        <v>3</v>
      </c>
      <c r="P9" s="1">
        <v>15.7525671</v>
      </c>
      <c r="Q9" s="1"/>
      <c r="R9" s="1"/>
      <c r="S9" s="1"/>
      <c r="T9" s="1"/>
      <c r="U9" s="1">
        <v>7.8900734999999997</v>
      </c>
      <c r="V9" s="1">
        <v>7.9029299000000002</v>
      </c>
      <c r="W9" s="1">
        <v>8.3861702999999999</v>
      </c>
      <c r="X9" s="1">
        <v>8.3861702999999999</v>
      </c>
      <c r="Y9" s="1">
        <v>8.3861702999999999</v>
      </c>
      <c r="Z9" s="1">
        <v>8.8036321999999991</v>
      </c>
      <c r="AA9" s="1" t="s">
        <v>46</v>
      </c>
      <c r="AB9" s="1">
        <v>1</v>
      </c>
      <c r="AC9" s="1">
        <v>0.41209000000000001</v>
      </c>
      <c r="AD9" s="1" t="s">
        <v>47</v>
      </c>
      <c r="AE9" s="1"/>
      <c r="AF9" s="1"/>
      <c r="AG9" s="1"/>
      <c r="AH9" s="1"/>
      <c r="AI9" s="1">
        <v>3</v>
      </c>
      <c r="AJ9" s="1">
        <v>1</v>
      </c>
      <c r="AK9" s="1" t="s">
        <v>58</v>
      </c>
      <c r="AL9" s="1" t="s">
        <v>49</v>
      </c>
      <c r="AM9" s="1"/>
      <c r="AN9" s="1" t="s">
        <v>50</v>
      </c>
      <c r="AO9" s="1">
        <v>60.02851356</v>
      </c>
      <c r="AP9" s="1" t="s">
        <v>59</v>
      </c>
      <c r="AQ9" s="1"/>
      <c r="AR9" s="1"/>
      <c r="AS9" s="1"/>
    </row>
    <row r="10" spans="1:45" x14ac:dyDescent="0.35">
      <c r="A10" s="1" t="s">
        <v>43</v>
      </c>
      <c r="B10" s="1" t="s">
        <v>44</v>
      </c>
      <c r="C10" s="1" t="s">
        <v>45</v>
      </c>
      <c r="D10" s="1" t="s">
        <v>46</v>
      </c>
      <c r="E10" s="1">
        <v>15</v>
      </c>
      <c r="F10" s="1">
        <v>3</v>
      </c>
      <c r="G10" s="1">
        <v>3</v>
      </c>
      <c r="H10" s="1" t="s">
        <v>46</v>
      </c>
      <c r="I10" s="1">
        <v>1</v>
      </c>
      <c r="J10" s="1">
        <v>0.48082000000000003</v>
      </c>
      <c r="K10" s="1" t="s">
        <v>47</v>
      </c>
      <c r="L10" s="1">
        <v>3</v>
      </c>
      <c r="M10" s="1">
        <v>3</v>
      </c>
      <c r="N10" s="1">
        <v>15</v>
      </c>
      <c r="O10" s="1">
        <v>0</v>
      </c>
      <c r="P10" s="1">
        <v>16.885636600000002</v>
      </c>
      <c r="Q10" s="1"/>
      <c r="R10" s="1"/>
      <c r="S10" s="1"/>
      <c r="T10" s="1"/>
      <c r="U10" s="1">
        <v>8.8047704000000007</v>
      </c>
      <c r="V10" s="1">
        <v>8.8194119999999998</v>
      </c>
      <c r="W10" s="1">
        <v>9.3195622</v>
      </c>
      <c r="X10" s="1">
        <v>9.3195622</v>
      </c>
      <c r="Y10" s="1">
        <v>9.3195622</v>
      </c>
      <c r="Z10" s="1">
        <v>9.8864873000000006</v>
      </c>
      <c r="AA10" s="1" t="s">
        <v>54</v>
      </c>
      <c r="AB10" s="1">
        <v>1</v>
      </c>
      <c r="AC10" s="1">
        <v>0.56307030000000002</v>
      </c>
      <c r="AD10" s="1" t="s">
        <v>47</v>
      </c>
      <c r="AE10" s="1"/>
      <c r="AF10" s="1"/>
      <c r="AG10" s="1"/>
      <c r="AH10" s="1"/>
      <c r="AI10" s="1">
        <v>3</v>
      </c>
      <c r="AJ10" s="1">
        <v>1</v>
      </c>
      <c r="AK10" s="1" t="s">
        <v>58</v>
      </c>
      <c r="AL10" s="1" t="s">
        <v>49</v>
      </c>
      <c r="AM10" s="1"/>
      <c r="AN10" s="1" t="s">
        <v>50</v>
      </c>
      <c r="AO10" s="1">
        <v>60.02851356</v>
      </c>
      <c r="AP10" s="1" t="s">
        <v>59</v>
      </c>
      <c r="AQ10" s="1"/>
      <c r="AR10" s="1"/>
      <c r="AS10" s="1"/>
    </row>
    <row r="11" spans="1:45" x14ac:dyDescent="0.35">
      <c r="A11" s="1" t="s">
        <v>43</v>
      </c>
      <c r="B11" s="1" t="s">
        <v>44</v>
      </c>
      <c r="C11" s="1" t="s">
        <v>45</v>
      </c>
      <c r="D11" s="1" t="s">
        <v>46</v>
      </c>
      <c r="E11" s="1">
        <v>17</v>
      </c>
      <c r="F11" s="1">
        <v>1</v>
      </c>
      <c r="G11" s="1">
        <v>4</v>
      </c>
      <c r="H11" s="1" t="s">
        <v>46</v>
      </c>
      <c r="I11" s="1">
        <v>1</v>
      </c>
      <c r="J11" s="1">
        <v>0.69685149999999996</v>
      </c>
      <c r="K11" s="1" t="s">
        <v>47</v>
      </c>
      <c r="L11" s="1">
        <v>4</v>
      </c>
      <c r="M11" s="1">
        <v>1</v>
      </c>
      <c r="N11" s="1">
        <v>17</v>
      </c>
      <c r="O11" s="1">
        <v>0</v>
      </c>
      <c r="P11" s="1">
        <v>18.785484499999999</v>
      </c>
      <c r="Q11" s="1"/>
      <c r="R11" s="1"/>
      <c r="S11" s="1"/>
      <c r="T11" s="1"/>
      <c r="U11" s="1">
        <v>9.8900162999999992</v>
      </c>
      <c r="V11" s="1">
        <v>9.9026294000000004</v>
      </c>
      <c r="W11" s="1">
        <v>10.385965499999999</v>
      </c>
      <c r="X11" s="1">
        <v>10.385965499999999</v>
      </c>
      <c r="Y11" s="1">
        <v>10.385965499999999</v>
      </c>
      <c r="Z11" s="1">
        <v>10.8366893</v>
      </c>
      <c r="AA11" s="1" t="s">
        <v>46</v>
      </c>
      <c r="AB11" s="1">
        <v>1</v>
      </c>
      <c r="AC11" s="1">
        <v>0.43983539999999999</v>
      </c>
      <c r="AD11" s="1" t="s">
        <v>47</v>
      </c>
      <c r="AE11" s="1"/>
      <c r="AF11" s="1"/>
      <c r="AG11" s="1"/>
      <c r="AH11" s="1"/>
      <c r="AI11" s="1">
        <v>3</v>
      </c>
      <c r="AJ11" s="1">
        <v>1</v>
      </c>
      <c r="AK11" s="1" t="s">
        <v>58</v>
      </c>
      <c r="AL11" s="1" t="s">
        <v>49</v>
      </c>
      <c r="AM11" s="1"/>
      <c r="AN11" s="1" t="s">
        <v>50</v>
      </c>
      <c r="AO11" s="1">
        <v>60.02851356</v>
      </c>
      <c r="AP11" s="1" t="s">
        <v>59</v>
      </c>
      <c r="AQ11" s="1"/>
      <c r="AR11" s="1"/>
      <c r="AS11" s="1"/>
    </row>
    <row r="12" spans="1:45" x14ac:dyDescent="0.35">
      <c r="A12" s="1" t="s">
        <v>52</v>
      </c>
      <c r="B12" s="1" t="s">
        <v>53</v>
      </c>
      <c r="C12" s="1" t="s">
        <v>45</v>
      </c>
      <c r="D12" s="1" t="s">
        <v>54</v>
      </c>
      <c r="E12" s="1">
        <v>19</v>
      </c>
      <c r="F12" s="1">
        <v>3</v>
      </c>
      <c r="G12" s="1">
        <v>4</v>
      </c>
      <c r="H12" s="1" t="s">
        <v>54</v>
      </c>
      <c r="I12" s="1">
        <v>1</v>
      </c>
      <c r="J12" s="1">
        <v>0.41427049999999999</v>
      </c>
      <c r="K12" s="1" t="s">
        <v>47</v>
      </c>
      <c r="L12" s="1">
        <v>4</v>
      </c>
      <c r="M12" s="1">
        <v>3</v>
      </c>
      <c r="N12" s="1">
        <v>19</v>
      </c>
      <c r="O12" s="1">
        <v>3</v>
      </c>
      <c r="P12" s="1">
        <v>21.002201199999998</v>
      </c>
      <c r="Q12" s="1"/>
      <c r="R12" s="1"/>
      <c r="S12" s="1"/>
      <c r="T12" s="1"/>
      <c r="U12" s="1">
        <v>10.840393499999999</v>
      </c>
      <c r="V12" s="1">
        <v>10.852773900000001</v>
      </c>
      <c r="W12" s="1">
        <v>11.336039299999999</v>
      </c>
      <c r="X12" s="1">
        <v>11.336039299999999</v>
      </c>
      <c r="Y12" s="1">
        <v>11.336039299999999</v>
      </c>
      <c r="Z12" s="1">
        <v>11.836714000000001</v>
      </c>
      <c r="AA12" s="1" t="s">
        <v>54</v>
      </c>
      <c r="AB12" s="1">
        <v>1</v>
      </c>
      <c r="AC12" s="1">
        <v>0.48548629999999998</v>
      </c>
      <c r="AD12" s="1" t="s">
        <v>47</v>
      </c>
      <c r="AE12" s="1"/>
      <c r="AF12" s="1"/>
      <c r="AG12" s="1"/>
      <c r="AH12" s="1"/>
      <c r="AI12" s="1">
        <v>3</v>
      </c>
      <c r="AJ12" s="1">
        <v>1</v>
      </c>
      <c r="AK12" s="1" t="s">
        <v>58</v>
      </c>
      <c r="AL12" s="1" t="s">
        <v>49</v>
      </c>
      <c r="AM12" s="1"/>
      <c r="AN12" s="1" t="s">
        <v>50</v>
      </c>
      <c r="AO12" s="1">
        <v>60.02851356</v>
      </c>
      <c r="AP12" s="1" t="s">
        <v>59</v>
      </c>
      <c r="AQ12" s="1"/>
      <c r="AR12" s="1"/>
      <c r="AS12" s="1"/>
    </row>
    <row r="13" spans="1:45" x14ac:dyDescent="0.35">
      <c r="A13" s="1" t="s">
        <v>52</v>
      </c>
      <c r="B13" s="1" t="s">
        <v>53</v>
      </c>
      <c r="C13" s="1" t="s">
        <v>45</v>
      </c>
      <c r="D13" s="1" t="s">
        <v>54</v>
      </c>
      <c r="E13" s="1">
        <v>20</v>
      </c>
      <c r="F13" s="1">
        <v>0</v>
      </c>
      <c r="G13" s="1">
        <v>5</v>
      </c>
      <c r="H13" s="1" t="s">
        <v>54</v>
      </c>
      <c r="I13" s="1">
        <v>1</v>
      </c>
      <c r="J13" s="1">
        <v>0.3680195</v>
      </c>
      <c r="K13" s="1" t="s">
        <v>47</v>
      </c>
      <c r="L13" s="1">
        <v>5</v>
      </c>
      <c r="M13" s="1">
        <v>0</v>
      </c>
      <c r="N13" s="1">
        <v>20</v>
      </c>
      <c r="O13" s="1">
        <v>3</v>
      </c>
      <c r="P13" s="1">
        <v>21.918878599999999</v>
      </c>
      <c r="Q13" s="1"/>
      <c r="R13" s="1"/>
      <c r="S13" s="1"/>
      <c r="T13" s="1"/>
      <c r="U13" s="1">
        <v>11.841011200000001</v>
      </c>
      <c r="V13" s="1">
        <v>11.852697300000001</v>
      </c>
      <c r="W13" s="1">
        <v>12.335924500000001</v>
      </c>
      <c r="X13" s="1">
        <v>12.335924500000001</v>
      </c>
      <c r="Y13" s="1">
        <v>12.335924500000001</v>
      </c>
      <c r="Z13" s="1">
        <v>12.686410800000001</v>
      </c>
      <c r="AA13" s="1" t="s">
        <v>54</v>
      </c>
      <c r="AB13" s="1">
        <v>1</v>
      </c>
      <c r="AC13" s="1">
        <v>0.34915479999999999</v>
      </c>
      <c r="AD13" s="1" t="s">
        <v>47</v>
      </c>
      <c r="AE13" s="1"/>
      <c r="AF13" s="1"/>
      <c r="AG13" s="1"/>
      <c r="AH13" s="1"/>
      <c r="AI13" s="1">
        <v>3</v>
      </c>
      <c r="AJ13" s="1">
        <v>1</v>
      </c>
      <c r="AK13" s="1" t="s">
        <v>58</v>
      </c>
      <c r="AL13" s="1" t="s">
        <v>49</v>
      </c>
      <c r="AM13" s="1"/>
      <c r="AN13" s="1" t="s">
        <v>50</v>
      </c>
      <c r="AO13" s="1">
        <v>60.02851356</v>
      </c>
      <c r="AP13" s="1" t="s">
        <v>59</v>
      </c>
      <c r="AQ13" s="1"/>
      <c r="AR13" s="1"/>
      <c r="AS13" s="1"/>
    </row>
    <row r="14" spans="1:45" x14ac:dyDescent="0.35">
      <c r="A14" s="1" t="s">
        <v>43</v>
      </c>
      <c r="B14" s="1" t="s">
        <v>44</v>
      </c>
      <c r="C14" s="1" t="s">
        <v>45</v>
      </c>
      <c r="D14" s="1" t="s">
        <v>46</v>
      </c>
      <c r="E14" s="1">
        <v>21</v>
      </c>
      <c r="F14" s="1">
        <v>1</v>
      </c>
      <c r="G14" s="1">
        <v>5</v>
      </c>
      <c r="H14" s="1" t="s">
        <v>46</v>
      </c>
      <c r="I14" s="1">
        <v>1</v>
      </c>
      <c r="J14" s="1">
        <v>0.57135080000000005</v>
      </c>
      <c r="K14" s="1" t="s">
        <v>47</v>
      </c>
      <c r="L14" s="1">
        <v>5</v>
      </c>
      <c r="M14" s="1">
        <v>1</v>
      </c>
      <c r="N14" s="1">
        <v>21</v>
      </c>
      <c r="O14" s="1">
        <v>0</v>
      </c>
      <c r="P14" s="1">
        <v>22.802128199999999</v>
      </c>
      <c r="Q14" s="1"/>
      <c r="R14" s="1"/>
      <c r="S14" s="1"/>
      <c r="T14" s="1"/>
      <c r="U14" s="1">
        <v>12.689103100000001</v>
      </c>
      <c r="V14" s="1">
        <v>12.702705999999999</v>
      </c>
      <c r="W14" s="1">
        <v>13.185887599999999</v>
      </c>
      <c r="X14" s="1">
        <v>13.185887599999999</v>
      </c>
      <c r="Y14" s="1">
        <v>13.185887599999999</v>
      </c>
      <c r="Z14" s="1">
        <v>13.6365006</v>
      </c>
      <c r="AA14" s="1" t="s">
        <v>46</v>
      </c>
      <c r="AB14" s="1">
        <v>1</v>
      </c>
      <c r="AC14" s="1">
        <v>0.43833850000000002</v>
      </c>
      <c r="AD14" s="1" t="s">
        <v>47</v>
      </c>
      <c r="AE14" s="1"/>
      <c r="AF14" s="1"/>
      <c r="AG14" s="1"/>
      <c r="AH14" s="1"/>
      <c r="AI14" s="1">
        <v>3</v>
      </c>
      <c r="AJ14" s="1">
        <v>1</v>
      </c>
      <c r="AK14" s="1" t="s">
        <v>58</v>
      </c>
      <c r="AL14" s="1" t="s">
        <v>49</v>
      </c>
      <c r="AM14" s="1"/>
      <c r="AN14" s="1" t="s">
        <v>50</v>
      </c>
      <c r="AO14" s="1">
        <v>60.02851356</v>
      </c>
      <c r="AP14" s="1" t="s">
        <v>59</v>
      </c>
      <c r="AQ14" s="1"/>
      <c r="AR14" s="1"/>
      <c r="AS14" s="1"/>
    </row>
    <row r="15" spans="1:45" x14ac:dyDescent="0.35">
      <c r="A15" s="1" t="s">
        <v>43</v>
      </c>
      <c r="B15" s="1" t="s">
        <v>44</v>
      </c>
      <c r="C15" s="1" t="s">
        <v>45</v>
      </c>
      <c r="D15" s="1" t="s">
        <v>46</v>
      </c>
      <c r="E15" s="1">
        <v>25</v>
      </c>
      <c r="F15" s="1">
        <v>1</v>
      </c>
      <c r="G15" s="1">
        <v>6</v>
      </c>
      <c r="H15" s="1" t="s">
        <v>46</v>
      </c>
      <c r="I15" s="1">
        <v>1</v>
      </c>
      <c r="J15" s="1">
        <v>0.64923909999999996</v>
      </c>
      <c r="K15" s="1" t="s">
        <v>47</v>
      </c>
      <c r="L15" s="1">
        <v>6</v>
      </c>
      <c r="M15" s="1">
        <v>1</v>
      </c>
      <c r="N15" s="1">
        <v>25</v>
      </c>
      <c r="O15" s="1">
        <v>0</v>
      </c>
      <c r="P15" s="1">
        <v>27.351821099999999</v>
      </c>
      <c r="Q15" s="1"/>
      <c r="R15" s="1"/>
      <c r="S15" s="1"/>
      <c r="T15" s="1"/>
      <c r="U15" s="1">
        <v>13.637301000000001</v>
      </c>
      <c r="V15" s="1">
        <v>13.652673399999999</v>
      </c>
      <c r="W15" s="1">
        <v>14.1366461</v>
      </c>
      <c r="X15" s="1">
        <v>14.1366461</v>
      </c>
      <c r="Y15" s="1">
        <v>14.1366461</v>
      </c>
      <c r="Z15" s="1">
        <v>14.752947900000001</v>
      </c>
      <c r="AA15" s="1" t="s">
        <v>54</v>
      </c>
      <c r="AB15" s="1">
        <v>1</v>
      </c>
      <c r="AC15" s="1">
        <v>0.60917949999999998</v>
      </c>
      <c r="AD15" s="1" t="s">
        <v>47</v>
      </c>
      <c r="AE15" s="1"/>
      <c r="AF15" s="1"/>
      <c r="AG15" s="1"/>
      <c r="AH15" s="1"/>
      <c r="AI15" s="1">
        <v>3</v>
      </c>
      <c r="AJ15" s="1">
        <v>1</v>
      </c>
      <c r="AK15" s="1" t="s">
        <v>58</v>
      </c>
      <c r="AL15" s="1" t="s">
        <v>49</v>
      </c>
      <c r="AM15" s="1"/>
      <c r="AN15" s="1" t="s">
        <v>50</v>
      </c>
      <c r="AO15" s="1">
        <v>60.02851356</v>
      </c>
      <c r="AP15" s="1" t="s">
        <v>59</v>
      </c>
      <c r="AQ15" s="1"/>
      <c r="AR15" s="1"/>
      <c r="AS15" s="1"/>
    </row>
    <row r="16" spans="1:45" x14ac:dyDescent="0.35">
      <c r="A16" s="1" t="s">
        <v>52</v>
      </c>
      <c r="B16" s="1" t="s">
        <v>53</v>
      </c>
      <c r="C16" s="1" t="s">
        <v>45</v>
      </c>
      <c r="D16" s="1" t="s">
        <v>54</v>
      </c>
      <c r="E16" s="1">
        <v>26</v>
      </c>
      <c r="F16" s="1">
        <v>2</v>
      </c>
      <c r="G16" s="1">
        <v>6</v>
      </c>
      <c r="H16" s="1" t="s">
        <v>54</v>
      </c>
      <c r="I16" s="1">
        <v>1</v>
      </c>
      <c r="J16" s="1">
        <v>0.52091160000000003</v>
      </c>
      <c r="K16" s="1" t="s">
        <v>47</v>
      </c>
      <c r="L16" s="1">
        <v>6</v>
      </c>
      <c r="M16" s="1">
        <v>2</v>
      </c>
      <c r="N16" s="1">
        <v>26</v>
      </c>
      <c r="O16" s="1">
        <v>3</v>
      </c>
      <c r="P16" s="1">
        <v>28.501766</v>
      </c>
      <c r="Q16" s="1"/>
      <c r="R16" s="1"/>
      <c r="S16" s="1"/>
      <c r="T16" s="1"/>
      <c r="U16" s="1">
        <v>14.756422000000001</v>
      </c>
      <c r="V16" s="1">
        <v>14.769159999999999</v>
      </c>
      <c r="W16" s="1">
        <v>15.2527221</v>
      </c>
      <c r="X16" s="1">
        <v>15.2527221</v>
      </c>
      <c r="Y16" s="1">
        <v>15.2527221</v>
      </c>
      <c r="Z16" s="1">
        <v>15.7360448</v>
      </c>
      <c r="AA16" s="1" t="s">
        <v>46</v>
      </c>
      <c r="AB16" s="1">
        <v>1</v>
      </c>
      <c r="AC16" s="1">
        <v>0.47173039999999999</v>
      </c>
      <c r="AD16" s="1" t="s">
        <v>47</v>
      </c>
      <c r="AE16" s="1"/>
      <c r="AF16" s="1"/>
      <c r="AG16" s="1"/>
      <c r="AH16" s="1"/>
      <c r="AI16" s="1">
        <v>3</v>
      </c>
      <c r="AJ16" s="1">
        <v>1</v>
      </c>
      <c r="AK16" s="1" t="s">
        <v>58</v>
      </c>
      <c r="AL16" s="1" t="s">
        <v>49</v>
      </c>
      <c r="AM16" s="1"/>
      <c r="AN16" s="1" t="s">
        <v>50</v>
      </c>
      <c r="AO16" s="1">
        <v>60.02851356</v>
      </c>
      <c r="AP16" s="1" t="s">
        <v>59</v>
      </c>
      <c r="AQ16" s="1"/>
      <c r="AR16" s="1"/>
      <c r="AS16" s="1"/>
    </row>
    <row r="17" spans="1:45" x14ac:dyDescent="0.35">
      <c r="A17" s="1" t="s">
        <v>43</v>
      </c>
      <c r="B17" s="1" t="s">
        <v>44</v>
      </c>
      <c r="C17" s="1" t="s">
        <v>45</v>
      </c>
      <c r="D17" s="1" t="s">
        <v>46</v>
      </c>
      <c r="E17" s="1">
        <v>28</v>
      </c>
      <c r="F17" s="1">
        <v>0</v>
      </c>
      <c r="G17" s="1">
        <v>7</v>
      </c>
      <c r="H17" s="1" t="s">
        <v>46</v>
      </c>
      <c r="I17" s="1">
        <v>1</v>
      </c>
      <c r="J17" s="1">
        <v>0.58740369999999997</v>
      </c>
      <c r="K17" s="1" t="s">
        <v>47</v>
      </c>
      <c r="L17" s="1">
        <v>7</v>
      </c>
      <c r="M17" s="1">
        <v>0</v>
      </c>
      <c r="N17" s="1">
        <v>28</v>
      </c>
      <c r="O17" s="1">
        <v>0</v>
      </c>
      <c r="P17" s="1">
        <v>30.668453</v>
      </c>
      <c r="Q17" s="1"/>
      <c r="R17" s="1"/>
      <c r="S17" s="1"/>
      <c r="T17" s="1"/>
      <c r="U17" s="1">
        <v>15.736606999999999</v>
      </c>
      <c r="V17" s="1">
        <v>15.7525671</v>
      </c>
      <c r="W17" s="1">
        <v>16.235635800000001</v>
      </c>
      <c r="X17" s="1">
        <v>16.235635800000001</v>
      </c>
      <c r="Y17" s="1">
        <v>16.235635800000001</v>
      </c>
      <c r="Z17" s="1">
        <v>16.869663299999999</v>
      </c>
      <c r="AA17" s="1" t="s">
        <v>54</v>
      </c>
      <c r="AB17" s="1">
        <v>1</v>
      </c>
      <c r="AC17" s="1">
        <v>0.62631020000000004</v>
      </c>
      <c r="AD17" s="1" t="s">
        <v>47</v>
      </c>
      <c r="AE17" s="1"/>
      <c r="AF17" s="1"/>
      <c r="AG17" s="1"/>
      <c r="AH17" s="1"/>
      <c r="AI17" s="1">
        <v>3</v>
      </c>
      <c r="AJ17" s="1">
        <v>1</v>
      </c>
      <c r="AK17" s="1" t="s">
        <v>58</v>
      </c>
      <c r="AL17" s="1" t="s">
        <v>49</v>
      </c>
      <c r="AM17" s="1"/>
      <c r="AN17" s="1" t="s">
        <v>50</v>
      </c>
      <c r="AO17" s="1">
        <v>60.02851356</v>
      </c>
      <c r="AP17" s="1" t="s">
        <v>59</v>
      </c>
      <c r="AQ17" s="1"/>
      <c r="AR17" s="1"/>
      <c r="AS17" s="1"/>
    </row>
    <row r="18" spans="1:45" x14ac:dyDescent="0.35">
      <c r="A18" s="1" t="s">
        <v>52</v>
      </c>
      <c r="B18" s="1" t="s">
        <v>53</v>
      </c>
      <c r="C18" s="1" t="s">
        <v>45</v>
      </c>
      <c r="D18" s="1" t="s">
        <v>54</v>
      </c>
      <c r="E18" s="1">
        <v>31</v>
      </c>
      <c r="F18" s="1">
        <v>3</v>
      </c>
      <c r="G18" s="1">
        <v>7</v>
      </c>
      <c r="H18" s="1" t="s">
        <v>54</v>
      </c>
      <c r="I18" s="1">
        <v>1</v>
      </c>
      <c r="J18" s="1">
        <v>0.59992730000000005</v>
      </c>
      <c r="K18" s="1" t="s">
        <v>47</v>
      </c>
      <c r="L18" s="1">
        <v>7</v>
      </c>
      <c r="M18" s="1">
        <v>3</v>
      </c>
      <c r="N18" s="1">
        <v>31</v>
      </c>
      <c r="O18" s="1">
        <v>3</v>
      </c>
      <c r="P18" s="1">
        <v>33.868114599999998</v>
      </c>
      <c r="Q18" s="1"/>
      <c r="R18" s="1"/>
      <c r="S18" s="1"/>
      <c r="T18" s="1"/>
      <c r="U18" s="1">
        <v>16.872786300000001</v>
      </c>
      <c r="V18" s="1">
        <v>16.885636600000002</v>
      </c>
      <c r="W18" s="1">
        <v>17.369072200000002</v>
      </c>
      <c r="X18" s="1">
        <v>17.369072200000002</v>
      </c>
      <c r="Y18" s="1">
        <v>17.369072200000002</v>
      </c>
      <c r="Z18" s="1">
        <v>17.852910999999999</v>
      </c>
      <c r="AA18" s="1" t="s">
        <v>46</v>
      </c>
      <c r="AB18" s="1">
        <v>1</v>
      </c>
      <c r="AC18" s="1">
        <v>0.48082000000000003</v>
      </c>
      <c r="AD18" s="1" t="s">
        <v>47</v>
      </c>
      <c r="AE18" s="1"/>
      <c r="AF18" s="1"/>
      <c r="AG18" s="1"/>
      <c r="AH18" s="1"/>
      <c r="AI18" s="1">
        <v>3</v>
      </c>
      <c r="AJ18" s="1">
        <v>1</v>
      </c>
      <c r="AK18" s="1" t="s">
        <v>58</v>
      </c>
      <c r="AL18" s="1" t="s">
        <v>49</v>
      </c>
      <c r="AM18" s="1"/>
      <c r="AN18" s="1" t="s">
        <v>50</v>
      </c>
      <c r="AO18" s="1">
        <v>60.02851356</v>
      </c>
      <c r="AP18" s="1" t="s">
        <v>59</v>
      </c>
      <c r="AQ18" s="1"/>
      <c r="AR18" s="1"/>
      <c r="AS18" s="1"/>
    </row>
    <row r="19" spans="1:45" x14ac:dyDescent="0.35">
      <c r="A19" s="1" t="s">
        <v>52</v>
      </c>
      <c r="B19" s="1" t="s">
        <v>53</v>
      </c>
      <c r="C19" s="1" t="s">
        <v>45</v>
      </c>
      <c r="D19" s="1" t="s">
        <v>54</v>
      </c>
      <c r="E19" s="1">
        <v>32</v>
      </c>
      <c r="F19" s="1">
        <v>0</v>
      </c>
      <c r="G19" s="1">
        <v>8</v>
      </c>
      <c r="H19" s="1" t="s">
        <v>54</v>
      </c>
      <c r="I19" s="1">
        <v>1</v>
      </c>
      <c r="J19" s="1">
        <v>0.4854195</v>
      </c>
      <c r="K19" s="1" t="s">
        <v>47</v>
      </c>
      <c r="L19" s="1">
        <v>8</v>
      </c>
      <c r="M19" s="1">
        <v>0</v>
      </c>
      <c r="N19" s="1">
        <v>32</v>
      </c>
      <c r="O19" s="1">
        <v>3</v>
      </c>
      <c r="P19" s="1">
        <v>34.984793099999997</v>
      </c>
      <c r="Q19" s="1"/>
      <c r="R19" s="1"/>
      <c r="S19" s="1"/>
      <c r="T19" s="1"/>
      <c r="U19" s="1">
        <v>17.856788699999999</v>
      </c>
      <c r="V19" s="1">
        <v>17.869057900000001</v>
      </c>
      <c r="W19" s="1">
        <v>18.352392500000001</v>
      </c>
      <c r="X19" s="1">
        <v>18.352392500000001</v>
      </c>
      <c r="Y19" s="1">
        <v>18.352392500000001</v>
      </c>
      <c r="Z19" s="1">
        <v>18.7693665</v>
      </c>
      <c r="AA19" s="1" t="s">
        <v>54</v>
      </c>
      <c r="AB19" s="1">
        <v>0</v>
      </c>
      <c r="AC19" s="1">
        <v>0.40666999999999998</v>
      </c>
      <c r="AD19" s="1" t="s">
        <v>47</v>
      </c>
      <c r="AE19" s="1"/>
      <c r="AF19" s="1"/>
      <c r="AG19" s="1"/>
      <c r="AH19" s="1"/>
      <c r="AI19" s="1">
        <v>3</v>
      </c>
      <c r="AJ19" s="1">
        <v>1</v>
      </c>
      <c r="AK19" s="1" t="s">
        <v>58</v>
      </c>
      <c r="AL19" s="1" t="s">
        <v>49</v>
      </c>
      <c r="AM19" s="1"/>
      <c r="AN19" s="1" t="s">
        <v>50</v>
      </c>
      <c r="AO19" s="1">
        <v>60.02851356</v>
      </c>
      <c r="AP19" s="1" t="s">
        <v>59</v>
      </c>
      <c r="AQ19" s="1"/>
      <c r="AR19" s="1"/>
      <c r="AS19" s="1"/>
    </row>
    <row r="20" spans="1:45" x14ac:dyDescent="0.35">
      <c r="A20" s="1" t="s">
        <v>43</v>
      </c>
      <c r="B20" s="1" t="s">
        <v>44</v>
      </c>
      <c r="C20" s="1" t="s">
        <v>45</v>
      </c>
      <c r="D20" s="1" t="s">
        <v>46</v>
      </c>
      <c r="E20" s="1">
        <v>34</v>
      </c>
      <c r="F20" s="1">
        <v>2</v>
      </c>
      <c r="G20" s="1">
        <v>8</v>
      </c>
      <c r="H20" s="1" t="s">
        <v>46</v>
      </c>
      <c r="I20" s="1">
        <v>1</v>
      </c>
      <c r="J20" s="1">
        <v>0.41280529999999999</v>
      </c>
      <c r="K20" s="1" t="s">
        <v>47</v>
      </c>
      <c r="L20" s="1">
        <v>8</v>
      </c>
      <c r="M20" s="1">
        <v>2</v>
      </c>
      <c r="N20" s="1">
        <v>34</v>
      </c>
      <c r="O20" s="1">
        <v>0</v>
      </c>
      <c r="P20" s="1">
        <v>37.118158600000001</v>
      </c>
      <c r="Q20" s="1"/>
      <c r="R20" s="1"/>
      <c r="S20" s="1"/>
      <c r="T20" s="1"/>
      <c r="U20" s="1">
        <v>18.773226099999999</v>
      </c>
      <c r="V20" s="1">
        <v>18.785484499999999</v>
      </c>
      <c r="W20" s="1">
        <v>19.269027000000001</v>
      </c>
      <c r="X20" s="1">
        <v>19.269027000000001</v>
      </c>
      <c r="Y20" s="1">
        <v>19.269027000000001</v>
      </c>
      <c r="Z20" s="1">
        <v>19.969474099999999</v>
      </c>
      <c r="AA20" s="1" t="s">
        <v>46</v>
      </c>
      <c r="AB20" s="1">
        <v>1</v>
      </c>
      <c r="AC20" s="1">
        <v>0.69685149999999996</v>
      </c>
      <c r="AD20" s="1" t="s">
        <v>47</v>
      </c>
      <c r="AE20" s="1"/>
      <c r="AF20" s="1"/>
      <c r="AG20" s="1"/>
      <c r="AH20" s="1"/>
      <c r="AI20" s="1">
        <v>3</v>
      </c>
      <c r="AJ20" s="1">
        <v>1</v>
      </c>
      <c r="AK20" s="1" t="s">
        <v>58</v>
      </c>
      <c r="AL20" s="1" t="s">
        <v>49</v>
      </c>
      <c r="AM20" s="1"/>
      <c r="AN20" s="1" t="s">
        <v>50</v>
      </c>
      <c r="AO20" s="1">
        <v>60.02851356</v>
      </c>
      <c r="AP20" s="1" t="s">
        <v>59</v>
      </c>
      <c r="AQ20" s="1"/>
      <c r="AR20" s="1"/>
      <c r="AS20" s="1"/>
    </row>
    <row r="21" spans="1:45" x14ac:dyDescent="0.35">
      <c r="A21" s="1" t="s">
        <v>43</v>
      </c>
      <c r="B21" s="1" t="s">
        <v>44</v>
      </c>
      <c r="C21" s="1" t="s">
        <v>45</v>
      </c>
      <c r="D21" s="1" t="s">
        <v>46</v>
      </c>
      <c r="E21" s="1">
        <v>36</v>
      </c>
      <c r="F21" s="1">
        <v>0</v>
      </c>
      <c r="G21" s="1">
        <v>9</v>
      </c>
      <c r="H21" s="1" t="s">
        <v>46</v>
      </c>
      <c r="I21" s="1">
        <v>1</v>
      </c>
      <c r="J21" s="1">
        <v>0.59917889999999996</v>
      </c>
      <c r="K21" s="1" t="s">
        <v>47</v>
      </c>
      <c r="L21" s="1">
        <v>9</v>
      </c>
      <c r="M21" s="1">
        <v>0</v>
      </c>
      <c r="N21" s="1">
        <v>36</v>
      </c>
      <c r="O21" s="1">
        <v>0</v>
      </c>
      <c r="P21" s="1">
        <v>39.184717399999997</v>
      </c>
      <c r="Q21" s="1"/>
      <c r="R21" s="1"/>
      <c r="S21" s="1"/>
      <c r="T21" s="1"/>
      <c r="U21" s="1">
        <v>19.970241000000001</v>
      </c>
      <c r="V21" s="1">
        <v>19.985432599999999</v>
      </c>
      <c r="W21" s="1">
        <v>20.4689333</v>
      </c>
      <c r="X21" s="1">
        <v>20.4689333</v>
      </c>
      <c r="Y21" s="1">
        <v>20.4689333</v>
      </c>
      <c r="Z21" s="1">
        <v>20.985878599999999</v>
      </c>
      <c r="AA21" s="1" t="s">
        <v>54</v>
      </c>
      <c r="AB21" s="1">
        <v>1</v>
      </c>
      <c r="AC21" s="1">
        <v>0.50481849999999995</v>
      </c>
      <c r="AD21" s="1" t="s">
        <v>47</v>
      </c>
      <c r="AE21" s="1"/>
      <c r="AF21" s="1"/>
      <c r="AG21" s="1"/>
      <c r="AH21" s="1"/>
      <c r="AI21" s="1">
        <v>3</v>
      </c>
      <c r="AJ21" s="1">
        <v>1</v>
      </c>
      <c r="AK21" s="1" t="s">
        <v>58</v>
      </c>
      <c r="AL21" s="1" t="s">
        <v>49</v>
      </c>
      <c r="AM21" s="1"/>
      <c r="AN21" s="1" t="s">
        <v>50</v>
      </c>
      <c r="AO21" s="1">
        <v>60.02851356</v>
      </c>
      <c r="AP21" s="1" t="s">
        <v>59</v>
      </c>
      <c r="AQ21" s="1"/>
      <c r="AR21" s="1"/>
      <c r="AS21" s="1"/>
    </row>
    <row r="22" spans="1:45" x14ac:dyDescent="0.35">
      <c r="A22" s="1" t="s">
        <v>52</v>
      </c>
      <c r="B22" s="1" t="s">
        <v>53</v>
      </c>
      <c r="C22" s="1" t="s">
        <v>45</v>
      </c>
      <c r="D22" s="1" t="s">
        <v>54</v>
      </c>
      <c r="E22" s="1">
        <v>39</v>
      </c>
      <c r="F22" s="1">
        <v>3</v>
      </c>
      <c r="G22" s="1">
        <v>9</v>
      </c>
      <c r="H22" s="1" t="s">
        <v>54</v>
      </c>
      <c r="I22" s="1">
        <v>1</v>
      </c>
      <c r="J22" s="1">
        <v>0.57127899999999998</v>
      </c>
      <c r="K22" s="1" t="s">
        <v>47</v>
      </c>
      <c r="L22" s="1">
        <v>9</v>
      </c>
      <c r="M22" s="1">
        <v>3</v>
      </c>
      <c r="N22" s="1">
        <v>39</v>
      </c>
      <c r="O22" s="1">
        <v>3</v>
      </c>
      <c r="P22" s="1">
        <v>42.9844328</v>
      </c>
      <c r="Q22" s="1"/>
      <c r="R22" s="1"/>
      <c r="S22" s="1"/>
      <c r="T22" s="1"/>
      <c r="U22" s="1">
        <v>20.988965100000001</v>
      </c>
      <c r="V22" s="1">
        <v>21.002201199999998</v>
      </c>
      <c r="W22" s="1">
        <v>21.485397299999999</v>
      </c>
      <c r="X22" s="1">
        <v>21.485397299999999</v>
      </c>
      <c r="Y22" s="1">
        <v>21.485397299999999</v>
      </c>
      <c r="Z22" s="1">
        <v>21.902661299999998</v>
      </c>
      <c r="AA22" s="1" t="s">
        <v>54</v>
      </c>
      <c r="AB22" s="1">
        <v>1</v>
      </c>
      <c r="AC22" s="1">
        <v>0.41427049999999999</v>
      </c>
      <c r="AD22" s="1" t="s">
        <v>47</v>
      </c>
      <c r="AE22" s="1"/>
      <c r="AF22" s="1"/>
      <c r="AG22" s="1"/>
      <c r="AH22" s="1"/>
      <c r="AI22" s="1">
        <v>3</v>
      </c>
      <c r="AJ22" s="1">
        <v>1</v>
      </c>
      <c r="AK22" s="1" t="s">
        <v>58</v>
      </c>
      <c r="AL22" s="1" t="s">
        <v>49</v>
      </c>
      <c r="AM22" s="1"/>
      <c r="AN22" s="1" t="s">
        <v>50</v>
      </c>
      <c r="AO22" s="1">
        <v>60.02851356</v>
      </c>
      <c r="AP22" s="1" t="s">
        <v>59</v>
      </c>
      <c r="AQ22" s="1"/>
      <c r="AR22" s="1"/>
      <c r="AS22" s="1"/>
    </row>
    <row r="23" spans="1:45" x14ac:dyDescent="0.35">
      <c r="A23" s="1" t="s">
        <v>52</v>
      </c>
      <c r="B23" s="1" t="s">
        <v>44</v>
      </c>
      <c r="C23" s="1" t="s">
        <v>55</v>
      </c>
      <c r="D23" s="1" t="s">
        <v>46</v>
      </c>
      <c r="E23" s="1">
        <v>0</v>
      </c>
      <c r="F23" s="1">
        <v>0</v>
      </c>
      <c r="G23" s="1">
        <v>0</v>
      </c>
      <c r="H23" s="1" t="s">
        <v>46</v>
      </c>
      <c r="I23" s="1">
        <v>1</v>
      </c>
      <c r="J23" s="1">
        <v>0.76464540000000003</v>
      </c>
      <c r="K23" s="1" t="s">
        <v>47</v>
      </c>
      <c r="L23" s="1">
        <v>0</v>
      </c>
      <c r="M23" s="1">
        <v>0</v>
      </c>
      <c r="N23" s="1">
        <v>0</v>
      </c>
      <c r="O23" s="1">
        <v>2</v>
      </c>
      <c r="P23" s="1">
        <v>2.0297477000000002</v>
      </c>
      <c r="Q23" s="1"/>
      <c r="R23" s="1"/>
      <c r="S23" s="1"/>
      <c r="T23" s="1"/>
      <c r="U23" s="1">
        <v>21.903490600000001</v>
      </c>
      <c r="V23" s="1">
        <v>21.918878599999999</v>
      </c>
      <c r="W23" s="1">
        <v>22.402139099999999</v>
      </c>
      <c r="X23" s="1">
        <v>22.402139099999999</v>
      </c>
      <c r="Y23" s="1">
        <v>22.402139099999999</v>
      </c>
      <c r="Z23" s="1">
        <v>22.785861499999999</v>
      </c>
      <c r="AA23" s="1" t="s">
        <v>54</v>
      </c>
      <c r="AB23" s="1">
        <v>1</v>
      </c>
      <c r="AC23" s="1">
        <v>0.3680195</v>
      </c>
      <c r="AD23" s="1" t="s">
        <v>47</v>
      </c>
      <c r="AE23" s="1"/>
      <c r="AF23" s="1"/>
      <c r="AG23" s="1"/>
      <c r="AH23" s="1"/>
      <c r="AI23" s="1">
        <v>3</v>
      </c>
      <c r="AJ23" s="1">
        <v>1</v>
      </c>
      <c r="AK23" s="1" t="s">
        <v>58</v>
      </c>
      <c r="AL23" s="1" t="s">
        <v>49</v>
      </c>
      <c r="AM23" s="1"/>
      <c r="AN23" s="1" t="s">
        <v>50</v>
      </c>
      <c r="AO23" s="1">
        <v>60.02851356</v>
      </c>
      <c r="AP23" s="1" t="s">
        <v>59</v>
      </c>
      <c r="AQ23" s="1"/>
      <c r="AR23" s="1"/>
      <c r="AS23" s="1"/>
    </row>
    <row r="24" spans="1:45" x14ac:dyDescent="0.35">
      <c r="A24" s="1" t="s">
        <v>43</v>
      </c>
      <c r="B24" s="1" t="s">
        <v>53</v>
      </c>
      <c r="C24" s="1" t="s">
        <v>55</v>
      </c>
      <c r="D24" s="1" t="s">
        <v>54</v>
      </c>
      <c r="E24" s="1">
        <v>2</v>
      </c>
      <c r="F24" s="1">
        <v>2</v>
      </c>
      <c r="G24" s="1">
        <v>0</v>
      </c>
      <c r="H24" s="1" t="s">
        <v>54</v>
      </c>
      <c r="I24" s="1">
        <v>1</v>
      </c>
      <c r="J24" s="1">
        <v>0.38003429999999999</v>
      </c>
      <c r="K24" s="1" t="s">
        <v>47</v>
      </c>
      <c r="L24" s="1">
        <v>0</v>
      </c>
      <c r="M24" s="1">
        <v>2</v>
      </c>
      <c r="N24" s="1">
        <v>2</v>
      </c>
      <c r="O24" s="1">
        <v>1</v>
      </c>
      <c r="P24" s="1">
        <v>4.2862327999999996</v>
      </c>
      <c r="Q24" s="1"/>
      <c r="R24" s="1"/>
      <c r="S24" s="1"/>
      <c r="T24" s="1"/>
      <c r="U24" s="1">
        <v>22.789318900000001</v>
      </c>
      <c r="V24" s="1">
        <v>22.802128199999999</v>
      </c>
      <c r="W24" s="1">
        <v>23.285168800000001</v>
      </c>
      <c r="X24" s="1">
        <v>23.285168800000001</v>
      </c>
      <c r="Y24" s="1">
        <v>23.285168800000001</v>
      </c>
      <c r="Z24" s="1">
        <v>23.868879700000001</v>
      </c>
      <c r="AA24" s="1" t="s">
        <v>46</v>
      </c>
      <c r="AB24" s="1">
        <v>1</v>
      </c>
      <c r="AC24" s="1">
        <v>0.57135080000000005</v>
      </c>
      <c r="AD24" s="1" t="s">
        <v>47</v>
      </c>
      <c r="AE24" s="1"/>
      <c r="AF24" s="1"/>
      <c r="AG24" s="1"/>
      <c r="AH24" s="1"/>
      <c r="AI24" s="1">
        <v>3</v>
      </c>
      <c r="AJ24" s="1">
        <v>1</v>
      </c>
      <c r="AK24" s="1" t="s">
        <v>58</v>
      </c>
      <c r="AL24" s="1" t="s">
        <v>49</v>
      </c>
      <c r="AM24" s="1"/>
      <c r="AN24" s="1" t="s">
        <v>50</v>
      </c>
      <c r="AO24" s="1">
        <v>60.02851356</v>
      </c>
      <c r="AP24" s="1" t="s">
        <v>59</v>
      </c>
      <c r="AQ24" s="1"/>
      <c r="AR24" s="1"/>
      <c r="AS24" s="1"/>
    </row>
    <row r="25" spans="1:45" x14ac:dyDescent="0.35">
      <c r="A25" s="1" t="s">
        <v>52</v>
      </c>
      <c r="B25" s="1" t="s">
        <v>44</v>
      </c>
      <c r="C25" s="1" t="s">
        <v>55</v>
      </c>
      <c r="D25" s="1" t="s">
        <v>46</v>
      </c>
      <c r="E25" s="1">
        <v>4</v>
      </c>
      <c r="F25" s="1">
        <v>0</v>
      </c>
      <c r="G25" s="1">
        <v>1</v>
      </c>
      <c r="H25" s="1" t="s">
        <v>46</v>
      </c>
      <c r="I25" s="1">
        <v>1</v>
      </c>
      <c r="J25" s="1">
        <v>0.3811389</v>
      </c>
      <c r="K25" s="1" t="s">
        <v>47</v>
      </c>
      <c r="L25" s="1">
        <v>1</v>
      </c>
      <c r="M25" s="1">
        <v>0</v>
      </c>
      <c r="N25" s="1">
        <v>4</v>
      </c>
      <c r="O25" s="1">
        <v>2</v>
      </c>
      <c r="P25" s="1">
        <v>6.1697867000000004</v>
      </c>
      <c r="Q25" s="1"/>
      <c r="R25" s="1"/>
      <c r="S25" s="1"/>
      <c r="T25" s="1"/>
      <c r="U25" s="1">
        <v>23.869442299999999</v>
      </c>
      <c r="V25" s="1">
        <v>23.8852583</v>
      </c>
      <c r="W25" s="1">
        <v>24.3686893</v>
      </c>
      <c r="X25" s="1">
        <v>24.3686893</v>
      </c>
      <c r="Y25" s="1">
        <v>24.3686893</v>
      </c>
      <c r="Z25" s="1">
        <v>25.152430899999999</v>
      </c>
      <c r="AA25" s="1" t="s">
        <v>54</v>
      </c>
      <c r="AB25" s="1">
        <v>1</v>
      </c>
      <c r="AC25" s="1">
        <v>0.78200769999999997</v>
      </c>
      <c r="AD25" s="1" t="s">
        <v>47</v>
      </c>
      <c r="AE25" s="1"/>
      <c r="AF25" s="1"/>
      <c r="AG25" s="1"/>
      <c r="AH25" s="1"/>
      <c r="AI25" s="1">
        <v>3</v>
      </c>
      <c r="AJ25" s="1">
        <v>1</v>
      </c>
      <c r="AK25" s="1" t="s">
        <v>58</v>
      </c>
      <c r="AL25" s="1" t="s">
        <v>49</v>
      </c>
      <c r="AM25" s="1"/>
      <c r="AN25" s="1" t="s">
        <v>50</v>
      </c>
      <c r="AO25" s="1">
        <v>60.02851356</v>
      </c>
      <c r="AP25" s="1" t="s">
        <v>59</v>
      </c>
      <c r="AQ25" s="1"/>
      <c r="AR25" s="1"/>
      <c r="AS25" s="1"/>
    </row>
    <row r="26" spans="1:45" x14ac:dyDescent="0.35">
      <c r="A26" s="1" t="s">
        <v>43</v>
      </c>
      <c r="B26" s="1" t="s">
        <v>53</v>
      </c>
      <c r="C26" s="1" t="s">
        <v>55</v>
      </c>
      <c r="D26" s="1" t="s">
        <v>54</v>
      </c>
      <c r="E26" s="1">
        <v>7</v>
      </c>
      <c r="F26" s="1">
        <v>3</v>
      </c>
      <c r="G26" s="1">
        <v>1</v>
      </c>
      <c r="H26" s="1" t="s">
        <v>54</v>
      </c>
      <c r="I26" s="1">
        <v>1</v>
      </c>
      <c r="J26" s="1">
        <v>0.56307030000000002</v>
      </c>
      <c r="K26" s="1" t="s">
        <v>47</v>
      </c>
      <c r="L26" s="1">
        <v>1</v>
      </c>
      <c r="M26" s="1">
        <v>3</v>
      </c>
      <c r="N26" s="1">
        <v>7</v>
      </c>
      <c r="O26" s="1">
        <v>1</v>
      </c>
      <c r="P26" s="1">
        <v>8.8194119999999998</v>
      </c>
      <c r="Q26" s="1"/>
      <c r="R26" s="1"/>
      <c r="S26" s="1"/>
      <c r="T26" s="1"/>
      <c r="U26" s="1">
        <v>25.156286999999999</v>
      </c>
      <c r="V26" s="1">
        <v>25.168774899999999</v>
      </c>
      <c r="W26" s="1">
        <v>25.652116400000001</v>
      </c>
      <c r="X26" s="1">
        <v>25.652116400000001</v>
      </c>
      <c r="Y26" s="1">
        <v>25.652116400000001</v>
      </c>
      <c r="Z26" s="1">
        <v>26.318854200000001</v>
      </c>
      <c r="AA26" s="1" t="s">
        <v>46</v>
      </c>
      <c r="AB26" s="1">
        <v>1</v>
      </c>
      <c r="AC26" s="1">
        <v>0.6662669</v>
      </c>
      <c r="AD26" s="1" t="s">
        <v>47</v>
      </c>
      <c r="AE26" s="1"/>
      <c r="AF26" s="1"/>
      <c r="AG26" s="1"/>
      <c r="AH26" s="1"/>
      <c r="AI26" s="1">
        <v>3</v>
      </c>
      <c r="AJ26" s="1">
        <v>1</v>
      </c>
      <c r="AK26" s="1" t="s">
        <v>58</v>
      </c>
      <c r="AL26" s="1" t="s">
        <v>49</v>
      </c>
      <c r="AM26" s="1"/>
      <c r="AN26" s="1" t="s">
        <v>50</v>
      </c>
      <c r="AO26" s="1">
        <v>60.02851356</v>
      </c>
      <c r="AP26" s="1" t="s">
        <v>59</v>
      </c>
      <c r="AQ26" s="1"/>
      <c r="AR26" s="1"/>
      <c r="AS26" s="1"/>
    </row>
    <row r="27" spans="1:45" x14ac:dyDescent="0.35">
      <c r="A27" s="1" t="s">
        <v>52</v>
      </c>
      <c r="B27" s="1" t="s">
        <v>44</v>
      </c>
      <c r="C27" s="1" t="s">
        <v>55</v>
      </c>
      <c r="D27" s="1" t="s">
        <v>46</v>
      </c>
      <c r="E27" s="1">
        <v>8</v>
      </c>
      <c r="F27" s="1">
        <v>0</v>
      </c>
      <c r="G27" s="1">
        <v>2</v>
      </c>
      <c r="H27" s="1" t="s">
        <v>46</v>
      </c>
      <c r="I27" s="1">
        <v>1</v>
      </c>
      <c r="J27" s="1">
        <v>0.43983539999999999</v>
      </c>
      <c r="K27" s="1" t="s">
        <v>47</v>
      </c>
      <c r="L27" s="1">
        <v>2</v>
      </c>
      <c r="M27" s="1">
        <v>0</v>
      </c>
      <c r="N27" s="1">
        <v>8</v>
      </c>
      <c r="O27" s="1">
        <v>2</v>
      </c>
      <c r="P27" s="1">
        <v>9.9026294000000004</v>
      </c>
      <c r="Q27" s="1"/>
      <c r="R27" s="1"/>
      <c r="S27" s="1"/>
      <c r="T27" s="1"/>
      <c r="U27" s="1">
        <v>26.321839900000001</v>
      </c>
      <c r="V27" s="1">
        <v>26.335118999999999</v>
      </c>
      <c r="W27" s="1">
        <v>26.818552</v>
      </c>
      <c r="X27" s="1">
        <v>26.818552</v>
      </c>
      <c r="Y27" s="1">
        <v>26.818552</v>
      </c>
      <c r="Z27" s="1">
        <v>27.335702600000001</v>
      </c>
      <c r="AA27" s="1" t="s">
        <v>54</v>
      </c>
      <c r="AB27" s="1">
        <v>1</v>
      </c>
      <c r="AC27" s="1">
        <v>0.50650030000000001</v>
      </c>
      <c r="AD27" s="1" t="s">
        <v>47</v>
      </c>
      <c r="AE27" s="1"/>
      <c r="AF27" s="1"/>
      <c r="AG27" s="1"/>
      <c r="AH27" s="1"/>
      <c r="AI27" s="1">
        <v>3</v>
      </c>
      <c r="AJ27" s="1">
        <v>1</v>
      </c>
      <c r="AK27" s="1" t="s">
        <v>58</v>
      </c>
      <c r="AL27" s="1" t="s">
        <v>49</v>
      </c>
      <c r="AM27" s="1"/>
      <c r="AN27" s="1" t="s">
        <v>50</v>
      </c>
      <c r="AO27" s="1">
        <v>60.02851356</v>
      </c>
      <c r="AP27" s="1" t="s">
        <v>59</v>
      </c>
      <c r="AQ27" s="1"/>
      <c r="AR27" s="1"/>
      <c r="AS27" s="1"/>
    </row>
    <row r="28" spans="1:45" x14ac:dyDescent="0.35">
      <c r="A28" s="1" t="s">
        <v>43</v>
      </c>
      <c r="B28" s="1" t="s">
        <v>53</v>
      </c>
      <c r="C28" s="1" t="s">
        <v>55</v>
      </c>
      <c r="D28" s="1" t="s">
        <v>54</v>
      </c>
      <c r="E28" s="1">
        <v>9</v>
      </c>
      <c r="F28" s="1">
        <v>1</v>
      </c>
      <c r="G28" s="1">
        <v>2</v>
      </c>
      <c r="H28" s="1" t="s">
        <v>54</v>
      </c>
      <c r="I28" s="1">
        <v>1</v>
      </c>
      <c r="J28" s="1">
        <v>0.48548629999999998</v>
      </c>
      <c r="K28" s="1" t="s">
        <v>47</v>
      </c>
      <c r="L28" s="1">
        <v>2</v>
      </c>
      <c r="M28" s="1">
        <v>1</v>
      </c>
      <c r="N28" s="1">
        <v>9</v>
      </c>
      <c r="O28" s="1">
        <v>1</v>
      </c>
      <c r="P28" s="1">
        <v>10.852773900000001</v>
      </c>
      <c r="Q28" s="1"/>
      <c r="R28" s="1"/>
      <c r="S28" s="1"/>
      <c r="T28" s="1"/>
      <c r="U28" s="1">
        <v>27.3364236</v>
      </c>
      <c r="V28" s="1">
        <v>27.351821099999999</v>
      </c>
      <c r="W28" s="1">
        <v>27.834949699999999</v>
      </c>
      <c r="X28" s="1">
        <v>27.834949699999999</v>
      </c>
      <c r="Y28" s="1">
        <v>27.834949699999999</v>
      </c>
      <c r="Z28" s="1">
        <v>28.4856306</v>
      </c>
      <c r="AA28" s="1" t="s">
        <v>46</v>
      </c>
      <c r="AB28" s="1">
        <v>1</v>
      </c>
      <c r="AC28" s="1">
        <v>0.64923909999999996</v>
      </c>
      <c r="AD28" s="1" t="s">
        <v>47</v>
      </c>
      <c r="AE28" s="1"/>
      <c r="AF28" s="1"/>
      <c r="AG28" s="1"/>
      <c r="AH28" s="1"/>
      <c r="AI28" s="1">
        <v>3</v>
      </c>
      <c r="AJ28" s="1">
        <v>1</v>
      </c>
      <c r="AK28" s="1" t="s">
        <v>58</v>
      </c>
      <c r="AL28" s="1" t="s">
        <v>49</v>
      </c>
      <c r="AM28" s="1"/>
      <c r="AN28" s="1" t="s">
        <v>50</v>
      </c>
      <c r="AO28" s="1">
        <v>60.02851356</v>
      </c>
      <c r="AP28" s="1" t="s">
        <v>59</v>
      </c>
      <c r="AQ28" s="1"/>
      <c r="AR28" s="1"/>
      <c r="AS28" s="1"/>
    </row>
    <row r="29" spans="1:45" x14ac:dyDescent="0.35">
      <c r="A29" s="1" t="s">
        <v>43</v>
      </c>
      <c r="B29" s="1" t="s">
        <v>53</v>
      </c>
      <c r="C29" s="1" t="s">
        <v>55</v>
      </c>
      <c r="D29" s="1" t="s">
        <v>54</v>
      </c>
      <c r="E29" s="1">
        <v>12</v>
      </c>
      <c r="F29" s="1">
        <v>0</v>
      </c>
      <c r="G29" s="1">
        <v>3</v>
      </c>
      <c r="H29" s="1" t="s">
        <v>54</v>
      </c>
      <c r="I29" s="1">
        <v>1</v>
      </c>
      <c r="J29" s="1">
        <v>0.60917949999999998</v>
      </c>
      <c r="K29" s="1" t="s">
        <v>47</v>
      </c>
      <c r="L29" s="1">
        <v>3</v>
      </c>
      <c r="M29" s="1">
        <v>0</v>
      </c>
      <c r="N29" s="1">
        <v>12</v>
      </c>
      <c r="O29" s="1">
        <v>1</v>
      </c>
      <c r="P29" s="1">
        <v>13.652673399999999</v>
      </c>
      <c r="Q29" s="1"/>
      <c r="R29" s="1"/>
      <c r="S29" s="1"/>
      <c r="T29" s="1"/>
      <c r="U29" s="1">
        <v>28.488804999999999</v>
      </c>
      <c r="V29" s="1">
        <v>28.501766</v>
      </c>
      <c r="W29" s="1">
        <v>28.985113399999999</v>
      </c>
      <c r="X29" s="1">
        <v>28.985113399999999</v>
      </c>
      <c r="Y29" s="1">
        <v>28.985113399999999</v>
      </c>
      <c r="Z29" s="1">
        <v>29.5188986</v>
      </c>
      <c r="AA29" s="1" t="s">
        <v>54</v>
      </c>
      <c r="AB29" s="1">
        <v>1</v>
      </c>
      <c r="AC29" s="1">
        <v>0.52091160000000003</v>
      </c>
      <c r="AD29" s="1" t="s">
        <v>47</v>
      </c>
      <c r="AE29" s="1"/>
      <c r="AF29" s="1"/>
      <c r="AG29" s="1"/>
      <c r="AH29" s="1"/>
      <c r="AI29" s="1">
        <v>3</v>
      </c>
      <c r="AJ29" s="1">
        <v>1</v>
      </c>
      <c r="AK29" s="1" t="s">
        <v>58</v>
      </c>
      <c r="AL29" s="1" t="s">
        <v>49</v>
      </c>
      <c r="AM29" s="1"/>
      <c r="AN29" s="1" t="s">
        <v>50</v>
      </c>
      <c r="AO29" s="1">
        <v>60.02851356</v>
      </c>
      <c r="AP29" s="1" t="s">
        <v>59</v>
      </c>
      <c r="AQ29" s="1"/>
      <c r="AR29" s="1"/>
      <c r="AS29" s="1"/>
    </row>
    <row r="30" spans="1:45" x14ac:dyDescent="0.35">
      <c r="A30" s="1" t="s">
        <v>52</v>
      </c>
      <c r="B30" s="1" t="s">
        <v>44</v>
      </c>
      <c r="C30" s="1" t="s">
        <v>55</v>
      </c>
      <c r="D30" s="1" t="s">
        <v>46</v>
      </c>
      <c r="E30" s="1">
        <v>13</v>
      </c>
      <c r="F30" s="1">
        <v>1</v>
      </c>
      <c r="G30" s="1">
        <v>3</v>
      </c>
      <c r="H30" s="1" t="s">
        <v>46</v>
      </c>
      <c r="I30" s="1">
        <v>1</v>
      </c>
      <c r="J30" s="1">
        <v>0.47173039999999999</v>
      </c>
      <c r="K30" s="1" t="s">
        <v>47</v>
      </c>
      <c r="L30" s="1">
        <v>3</v>
      </c>
      <c r="M30" s="1">
        <v>1</v>
      </c>
      <c r="N30" s="1">
        <v>13</v>
      </c>
      <c r="O30" s="1">
        <v>2</v>
      </c>
      <c r="P30" s="1">
        <v>14.769159999999999</v>
      </c>
      <c r="Q30" s="1"/>
      <c r="R30" s="1"/>
      <c r="S30" s="1"/>
      <c r="T30" s="1"/>
      <c r="U30" s="1">
        <v>29.519450500000001</v>
      </c>
      <c r="V30" s="1">
        <v>29.535073499999999</v>
      </c>
      <c r="W30" s="1">
        <v>30.018337899999999</v>
      </c>
      <c r="X30" s="1">
        <v>30.018337899999999</v>
      </c>
      <c r="Y30" s="1">
        <v>30.018337899999999</v>
      </c>
      <c r="Z30" s="1">
        <v>30.652160800000001</v>
      </c>
      <c r="AA30" s="1" t="s">
        <v>46</v>
      </c>
      <c r="AB30" s="1">
        <v>1</v>
      </c>
      <c r="AC30" s="1">
        <v>0.61929199999999995</v>
      </c>
      <c r="AD30" s="1" t="s">
        <v>47</v>
      </c>
      <c r="AE30" s="1"/>
      <c r="AF30" s="1"/>
      <c r="AG30" s="1"/>
      <c r="AH30" s="1"/>
      <c r="AI30" s="1">
        <v>3</v>
      </c>
      <c r="AJ30" s="1">
        <v>1</v>
      </c>
      <c r="AK30" s="1" t="s">
        <v>58</v>
      </c>
      <c r="AL30" s="1" t="s">
        <v>49</v>
      </c>
      <c r="AM30" s="1"/>
      <c r="AN30" s="1" t="s">
        <v>50</v>
      </c>
      <c r="AO30" s="1">
        <v>60.02851356</v>
      </c>
      <c r="AP30" s="1" t="s">
        <v>59</v>
      </c>
      <c r="AQ30" s="1"/>
      <c r="AR30" s="1"/>
      <c r="AS30" s="1"/>
    </row>
    <row r="31" spans="1:45" x14ac:dyDescent="0.35">
      <c r="A31" s="1" t="s">
        <v>52</v>
      </c>
      <c r="B31" s="1" t="s">
        <v>44</v>
      </c>
      <c r="C31" s="1" t="s">
        <v>55</v>
      </c>
      <c r="D31" s="1" t="s">
        <v>46</v>
      </c>
      <c r="E31" s="1">
        <v>16</v>
      </c>
      <c r="F31" s="1">
        <v>0</v>
      </c>
      <c r="G31" s="1">
        <v>4</v>
      </c>
      <c r="H31" s="1" t="s">
        <v>54</v>
      </c>
      <c r="I31" s="1">
        <v>0</v>
      </c>
      <c r="J31" s="1">
        <v>0.40666999999999998</v>
      </c>
      <c r="K31" s="1" t="s">
        <v>47</v>
      </c>
      <c r="L31" s="1">
        <v>4</v>
      </c>
      <c r="M31" s="1">
        <v>0</v>
      </c>
      <c r="N31" s="1">
        <v>16</v>
      </c>
      <c r="O31" s="1">
        <v>2</v>
      </c>
      <c r="P31" s="1">
        <v>17.869057900000001</v>
      </c>
      <c r="Q31" s="1"/>
      <c r="R31" s="1"/>
      <c r="S31" s="1"/>
      <c r="T31" s="1"/>
      <c r="U31" s="1">
        <v>30.655518300000001</v>
      </c>
      <c r="V31" s="1">
        <v>30.668453</v>
      </c>
      <c r="W31" s="1">
        <v>31.151632200000002</v>
      </c>
      <c r="X31" s="1">
        <v>31.151632200000002</v>
      </c>
      <c r="Y31" s="1">
        <v>31.151632200000002</v>
      </c>
      <c r="Z31" s="1">
        <v>31.752199999999998</v>
      </c>
      <c r="AA31" s="1" t="s">
        <v>46</v>
      </c>
      <c r="AB31" s="1">
        <v>1</v>
      </c>
      <c r="AC31" s="1">
        <v>0.58740369999999997</v>
      </c>
      <c r="AD31" s="1" t="s">
        <v>47</v>
      </c>
      <c r="AE31" s="1"/>
      <c r="AF31" s="1"/>
      <c r="AG31" s="1"/>
      <c r="AH31" s="1"/>
      <c r="AI31" s="1">
        <v>3</v>
      </c>
      <c r="AJ31" s="1">
        <v>1</v>
      </c>
      <c r="AK31" s="1" t="s">
        <v>58</v>
      </c>
      <c r="AL31" s="1" t="s">
        <v>49</v>
      </c>
      <c r="AM31" s="1"/>
      <c r="AN31" s="1" t="s">
        <v>50</v>
      </c>
      <c r="AO31" s="1">
        <v>60.02851356</v>
      </c>
      <c r="AP31" s="1" t="s">
        <v>59</v>
      </c>
      <c r="AQ31" s="1"/>
      <c r="AR31" s="1"/>
      <c r="AS31" s="1"/>
    </row>
    <row r="32" spans="1:45" x14ac:dyDescent="0.35">
      <c r="A32" s="1" t="s">
        <v>43</v>
      </c>
      <c r="B32" s="1" t="s">
        <v>53</v>
      </c>
      <c r="C32" s="1" t="s">
        <v>55</v>
      </c>
      <c r="D32" s="1" t="s">
        <v>54</v>
      </c>
      <c r="E32" s="1">
        <v>18</v>
      </c>
      <c r="F32" s="1">
        <v>2</v>
      </c>
      <c r="G32" s="1">
        <v>4</v>
      </c>
      <c r="H32" s="1" t="s">
        <v>54</v>
      </c>
      <c r="I32" s="1">
        <v>1</v>
      </c>
      <c r="J32" s="1">
        <v>0.50481849999999995</v>
      </c>
      <c r="K32" s="1" t="s">
        <v>47</v>
      </c>
      <c r="L32" s="1">
        <v>4</v>
      </c>
      <c r="M32" s="1">
        <v>2</v>
      </c>
      <c r="N32" s="1">
        <v>18</v>
      </c>
      <c r="O32" s="1">
        <v>1</v>
      </c>
      <c r="P32" s="1">
        <v>19.985432599999999</v>
      </c>
      <c r="Q32" s="1"/>
      <c r="R32" s="1"/>
      <c r="S32" s="1"/>
      <c r="T32" s="1"/>
      <c r="U32" s="1">
        <v>31.752904300000001</v>
      </c>
      <c r="V32" s="1">
        <v>31.768405300000001</v>
      </c>
      <c r="W32" s="1">
        <v>32.251729900000001</v>
      </c>
      <c r="X32" s="1">
        <v>32.251729900000001</v>
      </c>
      <c r="Y32" s="1">
        <v>32.251729900000001</v>
      </c>
      <c r="Z32" s="1">
        <v>32.8520939</v>
      </c>
      <c r="AA32" s="1" t="s">
        <v>54</v>
      </c>
      <c r="AB32" s="1">
        <v>1</v>
      </c>
      <c r="AC32" s="1">
        <v>0.59650289999999995</v>
      </c>
      <c r="AD32" s="1" t="s">
        <v>47</v>
      </c>
      <c r="AE32" s="1"/>
      <c r="AF32" s="1"/>
      <c r="AG32" s="1"/>
      <c r="AH32" s="1"/>
      <c r="AI32" s="1">
        <v>3</v>
      </c>
      <c r="AJ32" s="1">
        <v>1</v>
      </c>
      <c r="AK32" s="1" t="s">
        <v>58</v>
      </c>
      <c r="AL32" s="1" t="s">
        <v>49</v>
      </c>
      <c r="AM32" s="1"/>
      <c r="AN32" s="1" t="s">
        <v>50</v>
      </c>
      <c r="AO32" s="1">
        <v>60.02851356</v>
      </c>
      <c r="AP32" s="1" t="s">
        <v>59</v>
      </c>
      <c r="AQ32" s="1"/>
      <c r="AR32" s="1"/>
      <c r="AS32" s="1"/>
    </row>
    <row r="33" spans="1:45" x14ac:dyDescent="0.35">
      <c r="A33" s="1" t="s">
        <v>43</v>
      </c>
      <c r="B33" s="1" t="s">
        <v>53</v>
      </c>
      <c r="C33" s="1" t="s">
        <v>55</v>
      </c>
      <c r="D33" s="1" t="s">
        <v>54</v>
      </c>
      <c r="E33" s="1">
        <v>22</v>
      </c>
      <c r="F33" s="1">
        <v>2</v>
      </c>
      <c r="G33" s="1">
        <v>5</v>
      </c>
      <c r="H33" s="1" t="s">
        <v>54</v>
      </c>
      <c r="I33" s="1">
        <v>1</v>
      </c>
      <c r="J33" s="1">
        <v>0.78200769999999997</v>
      </c>
      <c r="K33" s="1" t="s">
        <v>47</v>
      </c>
      <c r="L33" s="1">
        <v>5</v>
      </c>
      <c r="M33" s="1">
        <v>2</v>
      </c>
      <c r="N33" s="1">
        <v>22</v>
      </c>
      <c r="O33" s="1">
        <v>1</v>
      </c>
      <c r="P33" s="1">
        <v>23.8852583</v>
      </c>
      <c r="Q33" s="1"/>
      <c r="R33" s="1"/>
      <c r="S33" s="1"/>
      <c r="T33" s="1"/>
      <c r="U33" s="1">
        <v>32.855278800000001</v>
      </c>
      <c r="V33" s="1">
        <v>32.868379900000001</v>
      </c>
      <c r="W33" s="1">
        <v>33.351589699999998</v>
      </c>
      <c r="X33" s="1">
        <v>33.351589699999998</v>
      </c>
      <c r="Y33" s="1">
        <v>33.351589699999998</v>
      </c>
      <c r="Z33" s="1">
        <v>33.852064499999997</v>
      </c>
      <c r="AA33" s="1" t="s">
        <v>46</v>
      </c>
      <c r="AB33" s="1">
        <v>1</v>
      </c>
      <c r="AC33" s="1">
        <v>0.4955869</v>
      </c>
      <c r="AD33" s="1" t="s">
        <v>47</v>
      </c>
      <c r="AE33" s="1"/>
      <c r="AF33" s="1"/>
      <c r="AG33" s="1"/>
      <c r="AH33" s="1"/>
      <c r="AI33" s="1">
        <v>3</v>
      </c>
      <c r="AJ33" s="1">
        <v>1</v>
      </c>
      <c r="AK33" s="1" t="s">
        <v>58</v>
      </c>
      <c r="AL33" s="1" t="s">
        <v>49</v>
      </c>
      <c r="AM33" s="1"/>
      <c r="AN33" s="1" t="s">
        <v>50</v>
      </c>
      <c r="AO33" s="1">
        <v>60.02851356</v>
      </c>
      <c r="AP33" s="1" t="s">
        <v>59</v>
      </c>
      <c r="AQ33" s="1"/>
      <c r="AR33" s="1"/>
      <c r="AS33" s="1"/>
    </row>
    <row r="34" spans="1:45" x14ac:dyDescent="0.35">
      <c r="A34" s="1" t="s">
        <v>52</v>
      </c>
      <c r="B34" s="1" t="s">
        <v>44</v>
      </c>
      <c r="C34" s="1" t="s">
        <v>55</v>
      </c>
      <c r="D34" s="1" t="s">
        <v>46</v>
      </c>
      <c r="E34" s="1">
        <v>23</v>
      </c>
      <c r="F34" s="1">
        <v>3</v>
      </c>
      <c r="G34" s="1">
        <v>5</v>
      </c>
      <c r="H34" s="1" t="s">
        <v>46</v>
      </c>
      <c r="I34" s="1">
        <v>1</v>
      </c>
      <c r="J34" s="1">
        <v>0.6662669</v>
      </c>
      <c r="K34" s="1" t="s">
        <v>47</v>
      </c>
      <c r="L34" s="1">
        <v>5</v>
      </c>
      <c r="M34" s="1">
        <v>3</v>
      </c>
      <c r="N34" s="1">
        <v>23</v>
      </c>
      <c r="O34" s="1">
        <v>2</v>
      </c>
      <c r="P34" s="1">
        <v>25.168774899999999</v>
      </c>
      <c r="Q34" s="1"/>
      <c r="R34" s="1"/>
      <c r="S34" s="1"/>
      <c r="T34" s="1"/>
      <c r="U34" s="1">
        <v>33.852932600000003</v>
      </c>
      <c r="V34" s="1">
        <v>33.868114599999998</v>
      </c>
      <c r="W34" s="1">
        <v>34.351630299999997</v>
      </c>
      <c r="X34" s="1">
        <v>34.351630299999997</v>
      </c>
      <c r="Y34" s="1">
        <v>34.351630299999997</v>
      </c>
      <c r="Z34" s="1">
        <v>34.968699600000001</v>
      </c>
      <c r="AA34" s="1" t="s">
        <v>54</v>
      </c>
      <c r="AB34" s="1">
        <v>1</v>
      </c>
      <c r="AC34" s="1">
        <v>0.59992730000000005</v>
      </c>
      <c r="AD34" s="1" t="s">
        <v>47</v>
      </c>
      <c r="AE34" s="1"/>
      <c r="AF34" s="1"/>
      <c r="AG34" s="1"/>
      <c r="AH34" s="1"/>
      <c r="AI34" s="1">
        <v>3</v>
      </c>
      <c r="AJ34" s="1">
        <v>1</v>
      </c>
      <c r="AK34" s="1" t="s">
        <v>58</v>
      </c>
      <c r="AL34" s="1" t="s">
        <v>49</v>
      </c>
      <c r="AM34" s="1"/>
      <c r="AN34" s="1" t="s">
        <v>50</v>
      </c>
      <c r="AO34" s="1">
        <v>60.02851356</v>
      </c>
      <c r="AP34" s="1" t="s">
        <v>59</v>
      </c>
      <c r="AQ34" s="1"/>
      <c r="AR34" s="1"/>
      <c r="AS34" s="1"/>
    </row>
    <row r="35" spans="1:45" x14ac:dyDescent="0.35">
      <c r="A35" s="1" t="s">
        <v>43</v>
      </c>
      <c r="B35" s="1" t="s">
        <v>53</v>
      </c>
      <c r="C35" s="1" t="s">
        <v>55</v>
      </c>
      <c r="D35" s="1" t="s">
        <v>54</v>
      </c>
      <c r="E35" s="1">
        <v>24</v>
      </c>
      <c r="F35" s="1">
        <v>0</v>
      </c>
      <c r="G35" s="1">
        <v>6</v>
      </c>
      <c r="H35" s="1" t="s">
        <v>54</v>
      </c>
      <c r="I35" s="1">
        <v>1</v>
      </c>
      <c r="J35" s="1">
        <v>0.50650030000000001</v>
      </c>
      <c r="K35" s="1" t="s">
        <v>47</v>
      </c>
      <c r="L35" s="1">
        <v>6</v>
      </c>
      <c r="M35" s="1">
        <v>0</v>
      </c>
      <c r="N35" s="1">
        <v>24</v>
      </c>
      <c r="O35" s="1">
        <v>1</v>
      </c>
      <c r="P35" s="1">
        <v>26.335118999999999</v>
      </c>
      <c r="Q35" s="1"/>
      <c r="R35" s="1"/>
      <c r="S35" s="1"/>
      <c r="T35" s="1"/>
      <c r="U35" s="1">
        <v>34.9693787</v>
      </c>
      <c r="V35" s="1">
        <v>34.984793099999997</v>
      </c>
      <c r="W35" s="1">
        <v>35.468211799999999</v>
      </c>
      <c r="X35" s="1">
        <v>35.468211799999999</v>
      </c>
      <c r="Y35" s="1">
        <v>35.468211799999999</v>
      </c>
      <c r="Z35" s="1">
        <v>35.9685895</v>
      </c>
      <c r="AA35" s="1" t="s">
        <v>54</v>
      </c>
      <c r="AB35" s="1">
        <v>1</v>
      </c>
      <c r="AC35" s="1">
        <v>0.4854195</v>
      </c>
      <c r="AD35" s="1" t="s">
        <v>47</v>
      </c>
      <c r="AE35" s="1"/>
      <c r="AF35" s="1"/>
      <c r="AG35" s="1"/>
      <c r="AH35" s="1"/>
      <c r="AI35" s="1">
        <v>3</v>
      </c>
      <c r="AJ35" s="1">
        <v>1</v>
      </c>
      <c r="AK35" s="1" t="s">
        <v>58</v>
      </c>
      <c r="AL35" s="1" t="s">
        <v>49</v>
      </c>
      <c r="AM35" s="1"/>
      <c r="AN35" s="1" t="s">
        <v>50</v>
      </c>
      <c r="AO35" s="1">
        <v>60.02851356</v>
      </c>
      <c r="AP35" s="1" t="s">
        <v>59</v>
      </c>
      <c r="AQ35" s="1"/>
      <c r="AR35" s="1"/>
      <c r="AS35" s="1"/>
    </row>
    <row r="36" spans="1:45" x14ac:dyDescent="0.35">
      <c r="A36" s="1" t="s">
        <v>52</v>
      </c>
      <c r="B36" s="1" t="s">
        <v>44</v>
      </c>
      <c r="C36" s="1" t="s">
        <v>55</v>
      </c>
      <c r="D36" s="1" t="s">
        <v>46</v>
      </c>
      <c r="E36" s="1">
        <v>27</v>
      </c>
      <c r="F36" s="1">
        <v>3</v>
      </c>
      <c r="G36" s="1">
        <v>6</v>
      </c>
      <c r="H36" s="1" t="s">
        <v>46</v>
      </c>
      <c r="I36" s="1">
        <v>1</v>
      </c>
      <c r="J36" s="1">
        <v>0.61929199999999995</v>
      </c>
      <c r="K36" s="1" t="s">
        <v>47</v>
      </c>
      <c r="L36" s="1">
        <v>6</v>
      </c>
      <c r="M36" s="1">
        <v>3</v>
      </c>
      <c r="N36" s="1">
        <v>27</v>
      </c>
      <c r="O36" s="1">
        <v>2</v>
      </c>
      <c r="P36" s="1">
        <v>29.535073499999999</v>
      </c>
      <c r="Q36" s="1"/>
      <c r="R36" s="1"/>
      <c r="S36" s="1"/>
      <c r="T36" s="1"/>
      <c r="U36" s="1">
        <v>35.969172200000003</v>
      </c>
      <c r="V36" s="1">
        <v>35.984667399999999</v>
      </c>
      <c r="W36" s="1">
        <v>36.468121099999998</v>
      </c>
      <c r="X36" s="1">
        <v>36.468121099999998</v>
      </c>
      <c r="Y36" s="1">
        <v>36.468121099999998</v>
      </c>
      <c r="Z36" s="1">
        <v>37.102049999999998</v>
      </c>
      <c r="AA36" s="1" t="s">
        <v>46</v>
      </c>
      <c r="AB36" s="1">
        <v>1</v>
      </c>
      <c r="AC36" s="1">
        <v>0.61742609999999998</v>
      </c>
      <c r="AD36" s="1" t="s">
        <v>47</v>
      </c>
      <c r="AE36" s="1"/>
      <c r="AF36" s="1"/>
      <c r="AG36" s="1"/>
      <c r="AH36" s="1"/>
      <c r="AI36" s="1">
        <v>3</v>
      </c>
      <c r="AJ36" s="1">
        <v>1</v>
      </c>
      <c r="AK36" s="1" t="s">
        <v>58</v>
      </c>
      <c r="AL36" s="1" t="s">
        <v>49</v>
      </c>
      <c r="AM36" s="1"/>
      <c r="AN36" s="1" t="s">
        <v>50</v>
      </c>
      <c r="AO36" s="1">
        <v>60.02851356</v>
      </c>
      <c r="AP36" s="1" t="s">
        <v>59</v>
      </c>
      <c r="AQ36" s="1"/>
      <c r="AR36" s="1"/>
      <c r="AS36" s="1"/>
    </row>
    <row r="37" spans="1:45" x14ac:dyDescent="0.35">
      <c r="A37" s="1" t="s">
        <v>43</v>
      </c>
      <c r="B37" s="1" t="s">
        <v>53</v>
      </c>
      <c r="C37" s="1" t="s">
        <v>55</v>
      </c>
      <c r="D37" s="1" t="s">
        <v>54</v>
      </c>
      <c r="E37" s="1">
        <v>29</v>
      </c>
      <c r="F37" s="1">
        <v>1</v>
      </c>
      <c r="G37" s="1">
        <v>7</v>
      </c>
      <c r="H37" s="1" t="s">
        <v>54</v>
      </c>
      <c r="I37" s="1">
        <v>1</v>
      </c>
      <c r="J37" s="1">
        <v>0.59650289999999995</v>
      </c>
      <c r="K37" s="1" t="s">
        <v>47</v>
      </c>
      <c r="L37" s="1">
        <v>7</v>
      </c>
      <c r="M37" s="1">
        <v>1</v>
      </c>
      <c r="N37" s="1">
        <v>29</v>
      </c>
      <c r="O37" s="1">
        <v>1</v>
      </c>
      <c r="P37" s="1">
        <v>31.768405300000001</v>
      </c>
      <c r="Q37" s="1"/>
      <c r="R37" s="1"/>
      <c r="S37" s="1"/>
      <c r="T37" s="1"/>
      <c r="U37" s="1">
        <v>37.105702000000001</v>
      </c>
      <c r="V37" s="1">
        <v>37.118158600000001</v>
      </c>
      <c r="W37" s="1">
        <v>37.682909299999999</v>
      </c>
      <c r="X37" s="1">
        <v>37.682909299999999</v>
      </c>
      <c r="Y37" s="1">
        <v>37.682909299999999</v>
      </c>
      <c r="Z37" s="1">
        <v>38.1017996</v>
      </c>
      <c r="AA37" s="1" t="s">
        <v>46</v>
      </c>
      <c r="AB37" s="1">
        <v>1</v>
      </c>
      <c r="AC37" s="1">
        <v>0.41280529999999999</v>
      </c>
      <c r="AD37" s="1" t="s">
        <v>47</v>
      </c>
      <c r="AE37" s="1"/>
      <c r="AF37" s="1"/>
      <c r="AG37" s="1"/>
      <c r="AH37" s="1"/>
      <c r="AI37" s="1">
        <v>3</v>
      </c>
      <c r="AJ37" s="1">
        <v>1</v>
      </c>
      <c r="AK37" s="1" t="s">
        <v>58</v>
      </c>
      <c r="AL37" s="1" t="s">
        <v>49</v>
      </c>
      <c r="AM37" s="1"/>
      <c r="AN37" s="1" t="s">
        <v>50</v>
      </c>
      <c r="AO37" s="1">
        <v>60.02851356</v>
      </c>
      <c r="AP37" s="1" t="s">
        <v>59</v>
      </c>
      <c r="AQ37" s="1"/>
      <c r="AR37" s="1"/>
      <c r="AS37" s="1"/>
    </row>
    <row r="38" spans="1:45" x14ac:dyDescent="0.35">
      <c r="A38" s="1" t="s">
        <v>52</v>
      </c>
      <c r="B38" s="1" t="s">
        <v>44</v>
      </c>
      <c r="C38" s="1" t="s">
        <v>55</v>
      </c>
      <c r="D38" s="1" t="s">
        <v>46</v>
      </c>
      <c r="E38" s="1">
        <v>30</v>
      </c>
      <c r="F38" s="1">
        <v>2</v>
      </c>
      <c r="G38" s="1">
        <v>7</v>
      </c>
      <c r="H38" s="1" t="s">
        <v>46</v>
      </c>
      <c r="I38" s="1">
        <v>1</v>
      </c>
      <c r="J38" s="1">
        <v>0.4955869</v>
      </c>
      <c r="K38" s="1" t="s">
        <v>47</v>
      </c>
      <c r="L38" s="1">
        <v>7</v>
      </c>
      <c r="M38" s="1">
        <v>2</v>
      </c>
      <c r="N38" s="1">
        <v>30</v>
      </c>
      <c r="O38" s="1">
        <v>2</v>
      </c>
      <c r="P38" s="1">
        <v>32.868379900000001</v>
      </c>
      <c r="Q38" s="1"/>
      <c r="R38" s="1"/>
      <c r="S38" s="1"/>
      <c r="T38" s="1"/>
      <c r="U38" s="1">
        <v>38.102644300000001</v>
      </c>
      <c r="V38" s="1">
        <v>38.118113600000001</v>
      </c>
      <c r="W38" s="1">
        <v>38.601380599999999</v>
      </c>
      <c r="X38" s="1">
        <v>38.601380599999999</v>
      </c>
      <c r="Y38" s="1">
        <v>38.601380599999999</v>
      </c>
      <c r="Z38" s="1">
        <v>39.168632899999999</v>
      </c>
      <c r="AA38" s="1" t="s">
        <v>54</v>
      </c>
      <c r="AB38" s="1">
        <v>1</v>
      </c>
      <c r="AC38" s="1">
        <v>0.56008449999999999</v>
      </c>
      <c r="AD38" s="1" t="s">
        <v>47</v>
      </c>
      <c r="AE38" s="1"/>
      <c r="AF38" s="1"/>
      <c r="AG38" s="1"/>
      <c r="AH38" s="1"/>
      <c r="AI38" s="1">
        <v>3</v>
      </c>
      <c r="AJ38" s="1">
        <v>1</v>
      </c>
      <c r="AK38" s="1" t="s">
        <v>58</v>
      </c>
      <c r="AL38" s="1" t="s">
        <v>49</v>
      </c>
      <c r="AM38" s="1"/>
      <c r="AN38" s="1" t="s">
        <v>50</v>
      </c>
      <c r="AO38" s="1">
        <v>60.02851356</v>
      </c>
      <c r="AP38" s="1" t="s">
        <v>59</v>
      </c>
      <c r="AQ38" s="1"/>
      <c r="AR38" s="1"/>
      <c r="AS38" s="1"/>
    </row>
    <row r="39" spans="1:45" x14ac:dyDescent="0.35">
      <c r="A39" s="1" t="s">
        <v>52</v>
      </c>
      <c r="B39" s="1" t="s">
        <v>44</v>
      </c>
      <c r="C39" s="1" t="s">
        <v>55</v>
      </c>
      <c r="D39" s="1" t="s">
        <v>46</v>
      </c>
      <c r="E39" s="1">
        <v>33</v>
      </c>
      <c r="F39" s="1">
        <v>1</v>
      </c>
      <c r="G39" s="1">
        <v>8</v>
      </c>
      <c r="H39" s="1" t="s">
        <v>46</v>
      </c>
      <c r="I39" s="1">
        <v>1</v>
      </c>
      <c r="J39" s="1">
        <v>0.61742609999999998</v>
      </c>
      <c r="K39" s="1" t="s">
        <v>47</v>
      </c>
      <c r="L39" s="1">
        <v>8</v>
      </c>
      <c r="M39" s="1">
        <v>1</v>
      </c>
      <c r="N39" s="1">
        <v>33</v>
      </c>
      <c r="O39" s="1">
        <v>2</v>
      </c>
      <c r="P39" s="1">
        <v>35.984667399999999</v>
      </c>
      <c r="Q39" s="1"/>
      <c r="R39" s="1"/>
      <c r="S39" s="1"/>
      <c r="T39" s="1"/>
      <c r="U39" s="1">
        <v>39.1692812</v>
      </c>
      <c r="V39" s="1">
        <v>39.184717399999997</v>
      </c>
      <c r="W39" s="1">
        <v>39.668208200000002</v>
      </c>
      <c r="X39" s="1">
        <v>39.668208200000002</v>
      </c>
      <c r="Y39" s="1">
        <v>39.668208200000002</v>
      </c>
      <c r="Z39" s="1">
        <v>40.268419700000003</v>
      </c>
      <c r="AA39" s="1" t="s">
        <v>46</v>
      </c>
      <c r="AB39" s="1">
        <v>1</v>
      </c>
      <c r="AC39" s="1">
        <v>0.59917889999999996</v>
      </c>
      <c r="AD39" s="1" t="s">
        <v>47</v>
      </c>
      <c r="AE39" s="1"/>
      <c r="AF39" s="1"/>
      <c r="AG39" s="1"/>
      <c r="AH39" s="1"/>
      <c r="AI39" s="1">
        <v>3</v>
      </c>
      <c r="AJ39" s="1">
        <v>1</v>
      </c>
      <c r="AK39" s="1" t="s">
        <v>58</v>
      </c>
      <c r="AL39" s="1" t="s">
        <v>49</v>
      </c>
      <c r="AM39" s="1"/>
      <c r="AN39" s="1" t="s">
        <v>50</v>
      </c>
      <c r="AO39" s="1">
        <v>60.02851356</v>
      </c>
      <c r="AP39" s="1" t="s">
        <v>59</v>
      </c>
      <c r="AQ39" s="1"/>
      <c r="AR39" s="1"/>
      <c r="AS39" s="1"/>
    </row>
    <row r="40" spans="1:45" x14ac:dyDescent="0.35">
      <c r="A40" s="1" t="s">
        <v>43</v>
      </c>
      <c r="B40" s="1" t="s">
        <v>53</v>
      </c>
      <c r="C40" s="1" t="s">
        <v>55</v>
      </c>
      <c r="D40" s="1" t="s">
        <v>54</v>
      </c>
      <c r="E40" s="1">
        <v>35</v>
      </c>
      <c r="F40" s="1">
        <v>3</v>
      </c>
      <c r="G40" s="1">
        <v>8</v>
      </c>
      <c r="H40" s="1" t="s">
        <v>54</v>
      </c>
      <c r="I40" s="1">
        <v>1</v>
      </c>
      <c r="J40" s="1">
        <v>0.56008449999999999</v>
      </c>
      <c r="K40" s="1" t="s">
        <v>47</v>
      </c>
      <c r="L40" s="1">
        <v>8</v>
      </c>
      <c r="M40" s="1">
        <v>3</v>
      </c>
      <c r="N40" s="1">
        <v>35</v>
      </c>
      <c r="O40" s="1">
        <v>1</v>
      </c>
      <c r="P40" s="1">
        <v>38.118113600000001</v>
      </c>
      <c r="Q40" s="1"/>
      <c r="R40" s="1"/>
      <c r="S40" s="1"/>
      <c r="T40" s="1"/>
      <c r="U40" s="1">
        <v>40.268982600000001</v>
      </c>
      <c r="V40" s="1">
        <v>40.284585800000002</v>
      </c>
      <c r="W40" s="1">
        <v>40.768020399999997</v>
      </c>
      <c r="X40" s="1">
        <v>40.768020399999997</v>
      </c>
      <c r="Y40" s="1">
        <v>40.768020399999997</v>
      </c>
      <c r="Z40" s="1">
        <v>41.851846700000003</v>
      </c>
      <c r="AA40" s="1" t="s">
        <v>54</v>
      </c>
      <c r="AB40" s="1">
        <v>1</v>
      </c>
      <c r="AC40" s="1">
        <v>1.0709183</v>
      </c>
      <c r="AD40" s="1" t="s">
        <v>47</v>
      </c>
      <c r="AE40" s="1"/>
      <c r="AF40" s="1"/>
      <c r="AG40" s="1"/>
      <c r="AH40" s="1"/>
      <c r="AI40" s="1">
        <v>3</v>
      </c>
      <c r="AJ40" s="1">
        <v>1</v>
      </c>
      <c r="AK40" s="1" t="s">
        <v>58</v>
      </c>
      <c r="AL40" s="1" t="s">
        <v>49</v>
      </c>
      <c r="AM40" s="1"/>
      <c r="AN40" s="1" t="s">
        <v>50</v>
      </c>
      <c r="AO40" s="1">
        <v>60.02851356</v>
      </c>
      <c r="AP40" s="1" t="s">
        <v>59</v>
      </c>
      <c r="AQ40" s="1"/>
      <c r="AR40" s="1"/>
      <c r="AS40" s="1"/>
    </row>
    <row r="41" spans="1:45" x14ac:dyDescent="0.35">
      <c r="A41" s="1" t="s">
        <v>43</v>
      </c>
      <c r="B41" s="1" t="s">
        <v>53</v>
      </c>
      <c r="C41" s="1" t="s">
        <v>55</v>
      </c>
      <c r="D41" s="1" t="s">
        <v>54</v>
      </c>
      <c r="E41" s="1">
        <v>37</v>
      </c>
      <c r="F41" s="1">
        <v>1</v>
      </c>
      <c r="G41" s="1">
        <v>9</v>
      </c>
      <c r="H41" s="1" t="s">
        <v>54</v>
      </c>
      <c r="I41" s="1">
        <v>1</v>
      </c>
      <c r="J41" s="1">
        <v>1.0709183</v>
      </c>
      <c r="K41" s="1" t="s">
        <v>47</v>
      </c>
      <c r="L41" s="1">
        <v>9</v>
      </c>
      <c r="M41" s="1">
        <v>1</v>
      </c>
      <c r="N41" s="1">
        <v>37</v>
      </c>
      <c r="O41" s="1">
        <v>1</v>
      </c>
      <c r="P41" s="1">
        <v>40.284585800000002</v>
      </c>
      <c r="Q41" s="1"/>
      <c r="R41" s="1"/>
      <c r="S41" s="1"/>
      <c r="T41" s="1"/>
      <c r="U41" s="1">
        <v>41.855283999999997</v>
      </c>
      <c r="V41" s="1">
        <v>41.867848100000003</v>
      </c>
      <c r="W41" s="1">
        <v>42.3510426</v>
      </c>
      <c r="X41" s="1">
        <v>42.3510426</v>
      </c>
      <c r="Y41" s="1">
        <v>42.3510426</v>
      </c>
      <c r="Z41" s="1">
        <v>42.968452599999999</v>
      </c>
      <c r="AA41" s="1" t="s">
        <v>46</v>
      </c>
      <c r="AB41" s="1">
        <v>1</v>
      </c>
      <c r="AC41" s="1">
        <v>0.60744900000000002</v>
      </c>
      <c r="AD41" s="1" t="s">
        <v>47</v>
      </c>
      <c r="AE41" s="1"/>
      <c r="AF41" s="1"/>
      <c r="AG41" s="1"/>
      <c r="AH41" s="1"/>
      <c r="AI41" s="1">
        <v>3</v>
      </c>
      <c r="AJ41" s="1">
        <v>1</v>
      </c>
      <c r="AK41" s="1" t="s">
        <v>58</v>
      </c>
      <c r="AL41" s="1" t="s">
        <v>49</v>
      </c>
      <c r="AM41" s="1"/>
      <c r="AN41" s="1" t="s">
        <v>50</v>
      </c>
      <c r="AO41" s="1">
        <v>60.02851356</v>
      </c>
      <c r="AP41" s="1" t="s">
        <v>59</v>
      </c>
      <c r="AQ41" s="1"/>
      <c r="AR41" s="1"/>
      <c r="AS41" s="1"/>
    </row>
    <row r="42" spans="1:45" x14ac:dyDescent="0.35">
      <c r="A42" s="1" t="s">
        <v>52</v>
      </c>
      <c r="B42" s="1" t="s">
        <v>44</v>
      </c>
      <c r="C42" s="1" t="s">
        <v>55</v>
      </c>
      <c r="D42" s="1" t="s">
        <v>46</v>
      </c>
      <c r="E42" s="1">
        <v>38</v>
      </c>
      <c r="F42" s="1">
        <v>2</v>
      </c>
      <c r="G42" s="1">
        <v>9</v>
      </c>
      <c r="H42" s="1" t="s">
        <v>46</v>
      </c>
      <c r="I42" s="1">
        <v>1</v>
      </c>
      <c r="J42" s="1">
        <v>0.60744900000000002</v>
      </c>
      <c r="K42" s="1" t="s">
        <v>47</v>
      </c>
      <c r="L42" s="1">
        <v>9</v>
      </c>
      <c r="M42" s="1">
        <v>2</v>
      </c>
      <c r="N42" s="1">
        <v>38</v>
      </c>
      <c r="O42" s="1">
        <v>2</v>
      </c>
      <c r="P42" s="1">
        <v>41.867848100000003</v>
      </c>
      <c r="Q42" s="1"/>
      <c r="R42" s="1"/>
      <c r="S42" s="1"/>
      <c r="T42" s="1"/>
      <c r="U42" s="1">
        <v>42.969162799999999</v>
      </c>
      <c r="V42" s="1">
        <v>42.9844328</v>
      </c>
      <c r="W42" s="1">
        <v>43.467778600000003</v>
      </c>
      <c r="X42" s="1">
        <v>43.467778600000003</v>
      </c>
      <c r="Y42" s="1">
        <v>43.467778600000003</v>
      </c>
      <c r="Z42" s="1">
        <v>44.051471200000002</v>
      </c>
      <c r="AA42" s="1" t="s">
        <v>54</v>
      </c>
      <c r="AB42" s="1">
        <v>1</v>
      </c>
      <c r="AC42" s="1">
        <v>0.57127899999999998</v>
      </c>
      <c r="AD42" s="1" t="s">
        <v>47</v>
      </c>
      <c r="AE42" s="1"/>
      <c r="AF42" s="1"/>
      <c r="AG42" s="1"/>
      <c r="AH42" s="1"/>
      <c r="AI42" s="1">
        <v>3</v>
      </c>
      <c r="AJ42" s="1">
        <v>1</v>
      </c>
      <c r="AK42" s="1" t="s">
        <v>58</v>
      </c>
      <c r="AL42" s="1" t="s">
        <v>49</v>
      </c>
      <c r="AM42" s="1"/>
      <c r="AN42" s="1" t="s">
        <v>50</v>
      </c>
      <c r="AO42" s="1">
        <v>60.02851356</v>
      </c>
      <c r="AP42" s="1" t="s">
        <v>59</v>
      </c>
      <c r="AQ42" s="1"/>
      <c r="AR42" s="1"/>
      <c r="AS42" s="1"/>
    </row>
    <row r="43" spans="1:45" x14ac:dyDescent="0.35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  <c r="AB43" s="1"/>
      <c r="AC43" s="1"/>
      <c r="AD43" s="1"/>
      <c r="AE43" s="1">
        <v>44.051606100000001</v>
      </c>
      <c r="AF43" s="1">
        <v>44.067728299999999</v>
      </c>
      <c r="AG43" s="1">
        <v>46.0677254</v>
      </c>
      <c r="AH43" s="1">
        <v>46.051414299999998</v>
      </c>
      <c r="AI43" s="1">
        <v>3</v>
      </c>
      <c r="AJ43" s="1">
        <v>1</v>
      </c>
      <c r="AK43" s="1" t="s">
        <v>58</v>
      </c>
      <c r="AL43" s="1" t="s">
        <v>49</v>
      </c>
      <c r="AM43" s="1"/>
      <c r="AN43" s="1" t="s">
        <v>50</v>
      </c>
      <c r="AO43" s="1">
        <v>60.02851356</v>
      </c>
      <c r="AP43" s="1" t="s">
        <v>59</v>
      </c>
      <c r="AQ43" s="1"/>
      <c r="AR43" s="1"/>
      <c r="AS43" s="1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75814A-5C07-4325-B39D-5420573DD0A5}">
  <dimension ref="A1:AT43"/>
  <sheetViews>
    <sheetView topLeftCell="A22" workbookViewId="0">
      <selection activeCell="I22" sqref="I22:I41"/>
    </sheetView>
  </sheetViews>
  <sheetFormatPr defaultRowHeight="14.5" x14ac:dyDescent="0.35"/>
  <sheetData>
    <row r="1" spans="1:46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/>
      <c r="AS1" s="1"/>
      <c r="AT1" s="1"/>
    </row>
    <row r="2" spans="1:46" x14ac:dyDescent="0.35">
      <c r="A2" s="1" t="s">
        <v>52</v>
      </c>
      <c r="B2" s="1" t="s">
        <v>53</v>
      </c>
      <c r="C2" s="1" t="s">
        <v>45</v>
      </c>
      <c r="D2" s="1" t="s">
        <v>54</v>
      </c>
      <c r="E2" s="1">
        <v>0</v>
      </c>
      <c r="F2" s="1">
        <v>0</v>
      </c>
      <c r="G2" s="1">
        <v>0</v>
      </c>
      <c r="H2" s="1" t="s">
        <v>54</v>
      </c>
      <c r="I2" s="1">
        <v>1</v>
      </c>
      <c r="J2" s="1">
        <v>0.51068730000406504</v>
      </c>
      <c r="K2" s="1" t="s">
        <v>47</v>
      </c>
      <c r="L2" s="1">
        <v>0</v>
      </c>
      <c r="M2" s="1">
        <v>0</v>
      </c>
      <c r="N2" s="1">
        <v>0</v>
      </c>
      <c r="O2" s="1">
        <v>3</v>
      </c>
      <c r="P2" s="1">
        <v>2.0326670000213198</v>
      </c>
      <c r="Q2" s="1"/>
      <c r="R2" s="1"/>
      <c r="S2" s="1"/>
      <c r="T2" s="1"/>
      <c r="U2" s="1"/>
      <c r="V2" s="1">
        <v>2.0296113999793302</v>
      </c>
      <c r="W2" s="1">
        <v>2.0326670000213198</v>
      </c>
      <c r="X2" s="1">
        <v>2.5108638000092398</v>
      </c>
      <c r="Y2" s="1">
        <v>2.5108638000092398</v>
      </c>
      <c r="Z2" s="1">
        <v>2.5108638000092398</v>
      </c>
      <c r="AA2" s="1">
        <v>3.10814100003335</v>
      </c>
      <c r="AB2" s="1" t="s">
        <v>54</v>
      </c>
      <c r="AC2" s="1">
        <v>1</v>
      </c>
      <c r="AD2" s="1">
        <v>0.51068730000406504</v>
      </c>
      <c r="AE2" s="1" t="s">
        <v>47</v>
      </c>
      <c r="AF2" s="1"/>
      <c r="AG2" s="1"/>
      <c r="AH2" s="1"/>
      <c r="AI2" s="1"/>
      <c r="AJ2" s="1">
        <v>4</v>
      </c>
      <c r="AK2" s="1">
        <v>1</v>
      </c>
      <c r="AL2" s="1" t="s">
        <v>60</v>
      </c>
      <c r="AM2" s="1" t="s">
        <v>49</v>
      </c>
      <c r="AN2" s="1"/>
      <c r="AO2" s="1" t="s">
        <v>50</v>
      </c>
      <c r="AP2" s="1">
        <v>59.992213021295903</v>
      </c>
      <c r="AQ2" s="1" t="s">
        <v>61</v>
      </c>
      <c r="AR2" s="1"/>
      <c r="AS2" s="1"/>
      <c r="AT2" s="1"/>
    </row>
    <row r="3" spans="1:46" x14ac:dyDescent="0.35">
      <c r="A3" s="1" t="s">
        <v>43</v>
      </c>
      <c r="B3" s="1" t="s">
        <v>44</v>
      </c>
      <c r="C3" s="1" t="s">
        <v>45</v>
      </c>
      <c r="D3" s="1" t="s">
        <v>46</v>
      </c>
      <c r="E3" s="1">
        <v>2</v>
      </c>
      <c r="F3" s="1">
        <v>2</v>
      </c>
      <c r="G3" s="1">
        <v>0</v>
      </c>
      <c r="H3" s="1" t="s">
        <v>46</v>
      </c>
      <c r="I3" s="1">
        <v>1</v>
      </c>
      <c r="J3" s="1">
        <v>0.48211240000091399</v>
      </c>
      <c r="K3" s="1" t="s">
        <v>47</v>
      </c>
      <c r="L3" s="1">
        <v>0</v>
      </c>
      <c r="M3" s="1">
        <v>2</v>
      </c>
      <c r="N3" s="1">
        <v>2</v>
      </c>
      <c r="O3" s="1">
        <v>0</v>
      </c>
      <c r="P3" s="1">
        <v>4.0439729000208899</v>
      </c>
      <c r="Q3" s="1"/>
      <c r="R3" s="1"/>
      <c r="S3" s="1"/>
      <c r="T3" s="1"/>
      <c r="U3" s="1"/>
      <c r="V3" s="1">
        <v>4.0281712000141798</v>
      </c>
      <c r="W3" s="1">
        <v>4.0439729000208899</v>
      </c>
      <c r="X3" s="1">
        <v>4.5271418000338599</v>
      </c>
      <c r="Y3" s="1">
        <v>4.5271418000338599</v>
      </c>
      <c r="Z3" s="1">
        <v>4.5271418000338599</v>
      </c>
      <c r="AA3" s="1">
        <v>5.0109739000326901</v>
      </c>
      <c r="AB3" s="1" t="s">
        <v>46</v>
      </c>
      <c r="AC3" s="1">
        <v>1</v>
      </c>
      <c r="AD3" s="1">
        <v>0.48211240000091399</v>
      </c>
      <c r="AE3" s="1" t="s">
        <v>47</v>
      </c>
      <c r="AF3" s="1"/>
      <c r="AG3" s="1"/>
      <c r="AH3" s="1"/>
      <c r="AI3" s="1"/>
      <c r="AJ3" s="1">
        <v>4</v>
      </c>
      <c r="AK3" s="1">
        <v>1</v>
      </c>
      <c r="AL3" s="1" t="s">
        <v>60</v>
      </c>
      <c r="AM3" s="1" t="s">
        <v>49</v>
      </c>
      <c r="AN3" s="1"/>
      <c r="AO3" s="1" t="s">
        <v>50</v>
      </c>
      <c r="AP3" s="1">
        <v>59.992213021295903</v>
      </c>
      <c r="AQ3" s="1" t="s">
        <v>61</v>
      </c>
      <c r="AR3" s="1"/>
      <c r="AS3" s="1"/>
      <c r="AT3" s="1"/>
    </row>
    <row r="4" spans="1:46" x14ac:dyDescent="0.35">
      <c r="A4" s="1" t="s">
        <v>52</v>
      </c>
      <c r="B4" s="1" t="s">
        <v>53</v>
      </c>
      <c r="C4" s="1" t="s">
        <v>45</v>
      </c>
      <c r="D4" s="1" t="s">
        <v>54</v>
      </c>
      <c r="E4" s="1">
        <v>4</v>
      </c>
      <c r="F4" s="1">
        <v>0</v>
      </c>
      <c r="G4" s="1">
        <v>1</v>
      </c>
      <c r="H4" s="1" t="s">
        <v>54</v>
      </c>
      <c r="I4" s="1">
        <v>1</v>
      </c>
      <c r="J4" s="1">
        <v>0.411246700037736</v>
      </c>
      <c r="K4" s="1" t="s">
        <v>47</v>
      </c>
      <c r="L4" s="1">
        <v>1</v>
      </c>
      <c r="M4" s="1">
        <v>0</v>
      </c>
      <c r="N4" s="1">
        <v>4</v>
      </c>
      <c r="O4" s="1">
        <v>3</v>
      </c>
      <c r="P4" s="1">
        <v>5.9771134000038701</v>
      </c>
      <c r="Q4" s="1"/>
      <c r="R4" s="1"/>
      <c r="S4" s="1"/>
      <c r="T4" s="1"/>
      <c r="U4" s="1"/>
      <c r="V4" s="1">
        <v>5.9611844000173697</v>
      </c>
      <c r="W4" s="1">
        <v>5.9771134000038701</v>
      </c>
      <c r="X4" s="1">
        <v>6.46056560002034</v>
      </c>
      <c r="Y4" s="1">
        <v>6.46056560002034</v>
      </c>
      <c r="Z4" s="1">
        <v>6.46056560002034</v>
      </c>
      <c r="AA4" s="1">
        <v>6.8774015000090003</v>
      </c>
      <c r="AB4" s="1" t="s">
        <v>54</v>
      </c>
      <c r="AC4" s="1">
        <v>1</v>
      </c>
      <c r="AD4" s="1">
        <v>0.411246700037736</v>
      </c>
      <c r="AE4" s="1" t="s">
        <v>47</v>
      </c>
      <c r="AF4" s="1"/>
      <c r="AG4" s="1"/>
      <c r="AH4" s="1"/>
      <c r="AI4" s="1"/>
      <c r="AJ4" s="1">
        <v>4</v>
      </c>
      <c r="AK4" s="1">
        <v>1</v>
      </c>
      <c r="AL4" s="1" t="s">
        <v>60</v>
      </c>
      <c r="AM4" s="1" t="s">
        <v>49</v>
      </c>
      <c r="AN4" s="1"/>
      <c r="AO4" s="1" t="s">
        <v>50</v>
      </c>
      <c r="AP4" s="1">
        <v>59.992213021295903</v>
      </c>
      <c r="AQ4" s="1" t="s">
        <v>61</v>
      </c>
      <c r="AR4" s="1"/>
      <c r="AS4" s="1"/>
      <c r="AT4" s="1"/>
    </row>
    <row r="5" spans="1:46" x14ac:dyDescent="0.35">
      <c r="A5" s="1" t="s">
        <v>43</v>
      </c>
      <c r="B5" s="1" t="s">
        <v>44</v>
      </c>
      <c r="C5" s="1" t="s">
        <v>45</v>
      </c>
      <c r="D5" s="1" t="s">
        <v>46</v>
      </c>
      <c r="E5" s="1">
        <v>6</v>
      </c>
      <c r="F5" s="1">
        <v>2</v>
      </c>
      <c r="G5" s="1">
        <v>1</v>
      </c>
      <c r="H5" s="1" t="s">
        <v>46</v>
      </c>
      <c r="I5" s="1">
        <v>1</v>
      </c>
      <c r="J5" s="1">
        <v>0.49422300001606301</v>
      </c>
      <c r="K5" s="1" t="s">
        <v>47</v>
      </c>
      <c r="L5" s="1">
        <v>1</v>
      </c>
      <c r="M5" s="1">
        <v>2</v>
      </c>
      <c r="N5" s="1">
        <v>6</v>
      </c>
      <c r="O5" s="1">
        <v>0</v>
      </c>
      <c r="P5" s="1">
        <v>7.9603072000318198</v>
      </c>
      <c r="Q5" s="1"/>
      <c r="R5" s="1"/>
      <c r="S5" s="1"/>
      <c r="T5" s="1"/>
      <c r="U5" s="1"/>
      <c r="V5" s="1">
        <v>7.9464286000002096</v>
      </c>
      <c r="W5" s="1">
        <v>7.9603072000318198</v>
      </c>
      <c r="X5" s="1">
        <v>8.4438492000335792</v>
      </c>
      <c r="Y5" s="1">
        <v>8.4438492000335792</v>
      </c>
      <c r="Z5" s="1">
        <v>8.4438492000335792</v>
      </c>
      <c r="AA5" s="1">
        <v>8.94443390000378</v>
      </c>
      <c r="AB5" s="1" t="s">
        <v>46</v>
      </c>
      <c r="AC5" s="1">
        <v>1</v>
      </c>
      <c r="AD5" s="1">
        <v>0.49422300001606301</v>
      </c>
      <c r="AE5" s="1" t="s">
        <v>47</v>
      </c>
      <c r="AF5" s="1"/>
      <c r="AG5" s="1"/>
      <c r="AH5" s="1"/>
      <c r="AI5" s="1"/>
      <c r="AJ5" s="1">
        <v>4</v>
      </c>
      <c r="AK5" s="1">
        <v>1</v>
      </c>
      <c r="AL5" s="1" t="s">
        <v>60</v>
      </c>
      <c r="AM5" s="1" t="s">
        <v>49</v>
      </c>
      <c r="AN5" s="1"/>
      <c r="AO5" s="1" t="s">
        <v>50</v>
      </c>
      <c r="AP5" s="1">
        <v>59.992213021295903</v>
      </c>
      <c r="AQ5" s="1" t="s">
        <v>61</v>
      </c>
      <c r="AR5" s="1"/>
      <c r="AS5" s="1"/>
      <c r="AT5" s="1"/>
    </row>
    <row r="6" spans="1:46" x14ac:dyDescent="0.35">
      <c r="A6" s="1" t="s">
        <v>52</v>
      </c>
      <c r="B6" s="1" t="s">
        <v>53</v>
      </c>
      <c r="C6" s="1" t="s">
        <v>45</v>
      </c>
      <c r="D6" s="1" t="s">
        <v>54</v>
      </c>
      <c r="E6" s="1">
        <v>8</v>
      </c>
      <c r="F6" s="1">
        <v>0</v>
      </c>
      <c r="G6" s="1">
        <v>2</v>
      </c>
      <c r="H6" s="1" t="s">
        <v>54</v>
      </c>
      <c r="I6" s="1">
        <v>1</v>
      </c>
      <c r="J6" s="1">
        <v>0.35699379997094999</v>
      </c>
      <c r="K6" s="1" t="s">
        <v>47</v>
      </c>
      <c r="L6" s="1">
        <v>2</v>
      </c>
      <c r="M6" s="1">
        <v>0</v>
      </c>
      <c r="N6" s="1">
        <v>8</v>
      </c>
      <c r="O6" s="1">
        <v>3</v>
      </c>
      <c r="P6" s="1">
        <v>9.9436697000055503</v>
      </c>
      <c r="Q6" s="1"/>
      <c r="R6" s="1"/>
      <c r="S6" s="1"/>
      <c r="T6" s="1"/>
      <c r="U6" s="1"/>
      <c r="V6" s="1">
        <v>9.9295362000120804</v>
      </c>
      <c r="W6" s="1">
        <v>9.9436697000055503</v>
      </c>
      <c r="X6" s="1">
        <v>10.4271046000067</v>
      </c>
      <c r="Y6" s="1">
        <v>10.4271046000067</v>
      </c>
      <c r="Z6" s="1">
        <v>10.4271046000067</v>
      </c>
      <c r="AA6" s="1">
        <v>10.794719299999899</v>
      </c>
      <c r="AB6" s="1" t="s">
        <v>54</v>
      </c>
      <c r="AC6" s="1">
        <v>1</v>
      </c>
      <c r="AD6" s="1">
        <v>0.35699379997094999</v>
      </c>
      <c r="AE6" s="1" t="s">
        <v>47</v>
      </c>
      <c r="AF6" s="1"/>
      <c r="AG6" s="1"/>
      <c r="AH6" s="1"/>
      <c r="AI6" s="1"/>
      <c r="AJ6" s="1">
        <v>4</v>
      </c>
      <c r="AK6" s="1">
        <v>1</v>
      </c>
      <c r="AL6" s="1" t="s">
        <v>60</v>
      </c>
      <c r="AM6" s="1" t="s">
        <v>49</v>
      </c>
      <c r="AN6" s="1"/>
      <c r="AO6" s="1" t="s">
        <v>50</v>
      </c>
      <c r="AP6" s="1">
        <v>59.992213021295903</v>
      </c>
      <c r="AQ6" s="1" t="s">
        <v>61</v>
      </c>
      <c r="AR6" s="1"/>
      <c r="AS6" s="1"/>
      <c r="AT6" s="1"/>
    </row>
    <row r="7" spans="1:46" x14ac:dyDescent="0.35">
      <c r="A7" s="1" t="s">
        <v>43</v>
      </c>
      <c r="B7" s="1" t="s">
        <v>44</v>
      </c>
      <c r="C7" s="1" t="s">
        <v>45</v>
      </c>
      <c r="D7" s="1" t="s">
        <v>46</v>
      </c>
      <c r="E7" s="1">
        <v>9</v>
      </c>
      <c r="F7" s="1">
        <v>1</v>
      </c>
      <c r="G7" s="1">
        <v>2</v>
      </c>
      <c r="H7" s="1" t="s">
        <v>46</v>
      </c>
      <c r="I7" s="1">
        <v>1</v>
      </c>
      <c r="J7" s="1">
        <v>0.45547280000755502</v>
      </c>
      <c r="K7" s="1" t="s">
        <v>47</v>
      </c>
      <c r="L7" s="1">
        <v>2</v>
      </c>
      <c r="M7" s="1">
        <v>1</v>
      </c>
      <c r="N7" s="1">
        <v>9</v>
      </c>
      <c r="O7" s="1">
        <v>0</v>
      </c>
      <c r="P7" s="1">
        <v>10.8104528000112</v>
      </c>
      <c r="Q7" s="1"/>
      <c r="R7" s="1"/>
      <c r="S7" s="1"/>
      <c r="T7" s="1"/>
      <c r="U7" s="1"/>
      <c r="V7" s="1">
        <v>10.797504500020199</v>
      </c>
      <c r="W7" s="1">
        <v>10.8104528000112</v>
      </c>
      <c r="X7" s="1">
        <v>11.310385200020299</v>
      </c>
      <c r="Y7" s="1">
        <v>11.310385200020299</v>
      </c>
      <c r="Z7" s="1">
        <v>11.310385200020299</v>
      </c>
      <c r="AA7" s="1">
        <v>11.7774307000217</v>
      </c>
      <c r="AB7" s="1" t="s">
        <v>46</v>
      </c>
      <c r="AC7" s="1">
        <v>1</v>
      </c>
      <c r="AD7" s="1">
        <v>0.45547280000755502</v>
      </c>
      <c r="AE7" s="1" t="s">
        <v>47</v>
      </c>
      <c r="AF7" s="1"/>
      <c r="AG7" s="1"/>
      <c r="AH7" s="1"/>
      <c r="AI7" s="1"/>
      <c r="AJ7" s="1">
        <v>4</v>
      </c>
      <c r="AK7" s="1">
        <v>1</v>
      </c>
      <c r="AL7" s="1" t="s">
        <v>60</v>
      </c>
      <c r="AM7" s="1" t="s">
        <v>49</v>
      </c>
      <c r="AN7" s="1"/>
      <c r="AO7" s="1" t="s">
        <v>50</v>
      </c>
      <c r="AP7" s="1">
        <v>59.992213021295903</v>
      </c>
      <c r="AQ7" s="1" t="s">
        <v>61</v>
      </c>
      <c r="AR7" s="1"/>
      <c r="AS7" s="1"/>
      <c r="AT7" s="1"/>
    </row>
    <row r="8" spans="1:46" x14ac:dyDescent="0.35">
      <c r="A8" s="1" t="s">
        <v>52</v>
      </c>
      <c r="B8" s="1" t="s">
        <v>53</v>
      </c>
      <c r="C8" s="1" t="s">
        <v>45</v>
      </c>
      <c r="D8" s="1" t="s">
        <v>54</v>
      </c>
      <c r="E8" s="1">
        <v>13</v>
      </c>
      <c r="F8" s="1">
        <v>1</v>
      </c>
      <c r="G8" s="1">
        <v>3</v>
      </c>
      <c r="H8" s="1" t="s">
        <v>54</v>
      </c>
      <c r="I8" s="1">
        <v>1</v>
      </c>
      <c r="J8" s="1">
        <v>0.58997609996003997</v>
      </c>
      <c r="K8" s="1" t="s">
        <v>47</v>
      </c>
      <c r="L8" s="1">
        <v>3</v>
      </c>
      <c r="M8" s="1">
        <v>1</v>
      </c>
      <c r="N8" s="1">
        <v>13</v>
      </c>
      <c r="O8" s="1">
        <v>3</v>
      </c>
      <c r="P8" s="1">
        <v>14.6102382999961</v>
      </c>
      <c r="Q8" s="1"/>
      <c r="R8" s="1"/>
      <c r="S8" s="1"/>
      <c r="T8" s="1"/>
      <c r="U8" s="1"/>
      <c r="V8" s="1">
        <v>14.5946900999988</v>
      </c>
      <c r="W8" s="1">
        <v>14.6102382999961</v>
      </c>
      <c r="X8" s="1">
        <v>15.0935901000048</v>
      </c>
      <c r="Y8" s="1">
        <v>15.0935901000048</v>
      </c>
      <c r="Z8" s="1">
        <v>15.0935901000048</v>
      </c>
      <c r="AA8" s="1">
        <v>15.694235200004099</v>
      </c>
      <c r="AB8" s="1" t="s">
        <v>54</v>
      </c>
      <c r="AC8" s="1">
        <v>1</v>
      </c>
      <c r="AD8" s="1">
        <v>0.58997609996003997</v>
      </c>
      <c r="AE8" s="1" t="s">
        <v>47</v>
      </c>
      <c r="AF8" s="1"/>
      <c r="AG8" s="1"/>
      <c r="AH8" s="1"/>
      <c r="AI8" s="1"/>
      <c r="AJ8" s="1">
        <v>4</v>
      </c>
      <c r="AK8" s="1">
        <v>1</v>
      </c>
      <c r="AL8" s="1" t="s">
        <v>60</v>
      </c>
      <c r="AM8" s="1" t="s">
        <v>49</v>
      </c>
      <c r="AN8" s="1"/>
      <c r="AO8" s="1" t="s">
        <v>50</v>
      </c>
      <c r="AP8" s="1">
        <v>59.992213021295903</v>
      </c>
      <c r="AQ8" s="1" t="s">
        <v>61</v>
      </c>
      <c r="AR8" s="1"/>
      <c r="AS8" s="1"/>
      <c r="AT8" s="1"/>
    </row>
    <row r="9" spans="1:46" x14ac:dyDescent="0.35">
      <c r="A9" s="1" t="s">
        <v>43</v>
      </c>
      <c r="B9" s="1" t="s">
        <v>44</v>
      </c>
      <c r="C9" s="1" t="s">
        <v>45</v>
      </c>
      <c r="D9" s="1" t="s">
        <v>46</v>
      </c>
      <c r="E9" s="1">
        <v>14</v>
      </c>
      <c r="F9" s="1">
        <v>2</v>
      </c>
      <c r="G9" s="1">
        <v>3</v>
      </c>
      <c r="H9" s="1" t="s">
        <v>46</v>
      </c>
      <c r="I9" s="1">
        <v>1</v>
      </c>
      <c r="J9" s="1">
        <v>0.41382690001046202</v>
      </c>
      <c r="K9" s="1" t="s">
        <v>47</v>
      </c>
      <c r="L9" s="1">
        <v>3</v>
      </c>
      <c r="M9" s="1">
        <v>2</v>
      </c>
      <c r="N9" s="1">
        <v>14</v>
      </c>
      <c r="O9" s="1">
        <v>0</v>
      </c>
      <c r="P9" s="1">
        <v>15.710239799984199</v>
      </c>
      <c r="Q9" s="1"/>
      <c r="R9" s="1"/>
      <c r="S9" s="1"/>
      <c r="T9" s="1"/>
      <c r="U9" s="1"/>
      <c r="V9" s="1">
        <v>15.6987133999937</v>
      </c>
      <c r="W9" s="1">
        <v>15.710239799984199</v>
      </c>
      <c r="X9" s="1">
        <v>16.193468199984601</v>
      </c>
      <c r="Y9" s="1">
        <v>16.193468199984601</v>
      </c>
      <c r="Z9" s="1">
        <v>16.193468199984601</v>
      </c>
      <c r="AA9" s="1">
        <v>16.610605199995899</v>
      </c>
      <c r="AB9" s="1" t="s">
        <v>46</v>
      </c>
      <c r="AC9" s="1">
        <v>1</v>
      </c>
      <c r="AD9" s="1">
        <v>0.41382690001046202</v>
      </c>
      <c r="AE9" s="1" t="s">
        <v>47</v>
      </c>
      <c r="AF9" s="1"/>
      <c r="AG9" s="1"/>
      <c r="AH9" s="1"/>
      <c r="AI9" s="1"/>
      <c r="AJ9" s="1">
        <v>4</v>
      </c>
      <c r="AK9" s="1">
        <v>1</v>
      </c>
      <c r="AL9" s="1" t="s">
        <v>60</v>
      </c>
      <c r="AM9" s="1" t="s">
        <v>49</v>
      </c>
      <c r="AN9" s="1"/>
      <c r="AO9" s="1" t="s">
        <v>50</v>
      </c>
      <c r="AP9" s="1">
        <v>59.992213021295903</v>
      </c>
      <c r="AQ9" s="1" t="s">
        <v>61</v>
      </c>
      <c r="AR9" s="1"/>
      <c r="AS9" s="1"/>
      <c r="AT9" s="1"/>
    </row>
    <row r="10" spans="1:46" x14ac:dyDescent="0.35">
      <c r="A10" s="1" t="s">
        <v>43</v>
      </c>
      <c r="B10" s="1" t="s">
        <v>44</v>
      </c>
      <c r="C10" s="1" t="s">
        <v>45</v>
      </c>
      <c r="D10" s="1" t="s">
        <v>46</v>
      </c>
      <c r="E10" s="1">
        <v>17</v>
      </c>
      <c r="F10" s="1">
        <v>1</v>
      </c>
      <c r="G10" s="1">
        <v>4</v>
      </c>
      <c r="H10" s="1" t="s">
        <v>46</v>
      </c>
      <c r="I10" s="1">
        <v>1</v>
      </c>
      <c r="J10" s="1">
        <v>0.36919399996986602</v>
      </c>
      <c r="K10" s="1" t="s">
        <v>47</v>
      </c>
      <c r="L10" s="1">
        <v>4</v>
      </c>
      <c r="M10" s="1">
        <v>1</v>
      </c>
      <c r="N10" s="1">
        <v>17</v>
      </c>
      <c r="O10" s="1">
        <v>0</v>
      </c>
      <c r="P10" s="1">
        <v>18.976857799978401</v>
      </c>
      <c r="Q10" s="1"/>
      <c r="R10" s="1"/>
      <c r="S10" s="1"/>
      <c r="T10" s="1"/>
      <c r="U10" s="1"/>
      <c r="V10" s="1">
        <v>18.9648027999792</v>
      </c>
      <c r="W10" s="1">
        <v>18.976857799978401</v>
      </c>
      <c r="X10" s="1">
        <v>19.460123500030001</v>
      </c>
      <c r="Y10" s="1">
        <v>19.460123500030001</v>
      </c>
      <c r="Z10" s="1">
        <v>19.460123500030001</v>
      </c>
      <c r="AA10" s="1">
        <v>19.844057700014599</v>
      </c>
      <c r="AB10" s="1" t="s">
        <v>46</v>
      </c>
      <c r="AC10" s="1">
        <v>1</v>
      </c>
      <c r="AD10" s="1">
        <v>0.36919399996986602</v>
      </c>
      <c r="AE10" s="1" t="s">
        <v>47</v>
      </c>
      <c r="AF10" s="1"/>
      <c r="AG10" s="1"/>
      <c r="AH10" s="1"/>
      <c r="AI10" s="1"/>
      <c r="AJ10" s="1">
        <v>4</v>
      </c>
      <c r="AK10" s="1">
        <v>1</v>
      </c>
      <c r="AL10" s="1" t="s">
        <v>60</v>
      </c>
      <c r="AM10" s="1" t="s">
        <v>49</v>
      </c>
      <c r="AN10" s="1"/>
      <c r="AO10" s="1" t="s">
        <v>50</v>
      </c>
      <c r="AP10" s="1">
        <v>59.992213021295903</v>
      </c>
      <c r="AQ10" s="1" t="s">
        <v>61</v>
      </c>
      <c r="AR10" s="1"/>
      <c r="AS10" s="1"/>
      <c r="AT10" s="1"/>
    </row>
    <row r="11" spans="1:46" x14ac:dyDescent="0.35">
      <c r="A11" s="1" t="s">
        <v>52</v>
      </c>
      <c r="B11" s="1" t="s">
        <v>53</v>
      </c>
      <c r="C11" s="1" t="s">
        <v>45</v>
      </c>
      <c r="D11" s="1" t="s">
        <v>54</v>
      </c>
      <c r="E11" s="1">
        <v>18</v>
      </c>
      <c r="F11" s="1">
        <v>2</v>
      </c>
      <c r="G11" s="1">
        <v>4</v>
      </c>
      <c r="H11" s="1" t="s">
        <v>54</v>
      </c>
      <c r="I11" s="1">
        <v>1</v>
      </c>
      <c r="J11" s="1">
        <v>0.42573970003286299</v>
      </c>
      <c r="K11" s="1" t="s">
        <v>47</v>
      </c>
      <c r="L11" s="1">
        <v>4</v>
      </c>
      <c r="M11" s="1">
        <v>2</v>
      </c>
      <c r="N11" s="1">
        <v>18</v>
      </c>
      <c r="O11" s="1">
        <v>3</v>
      </c>
      <c r="P11" s="1">
        <v>19.8598531000316</v>
      </c>
      <c r="Q11" s="1"/>
      <c r="R11" s="1"/>
      <c r="S11" s="1"/>
      <c r="T11" s="1"/>
      <c r="U11" s="1"/>
      <c r="V11" s="1">
        <v>19.848331300017801</v>
      </c>
      <c r="W11" s="1">
        <v>19.8598531000316</v>
      </c>
      <c r="X11" s="1">
        <v>20.343411399982799</v>
      </c>
      <c r="Y11" s="1">
        <v>20.343411399982799</v>
      </c>
      <c r="Z11" s="1">
        <v>20.343411399982799</v>
      </c>
      <c r="AA11" s="1">
        <v>20.776817000005298</v>
      </c>
      <c r="AB11" s="1" t="s">
        <v>54</v>
      </c>
      <c r="AC11" s="1">
        <v>1</v>
      </c>
      <c r="AD11" s="1">
        <v>0.42573970003286299</v>
      </c>
      <c r="AE11" s="1" t="s">
        <v>47</v>
      </c>
      <c r="AF11" s="1"/>
      <c r="AG11" s="1"/>
      <c r="AH11" s="1"/>
      <c r="AI11" s="1"/>
      <c r="AJ11" s="1">
        <v>4</v>
      </c>
      <c r="AK11" s="1">
        <v>1</v>
      </c>
      <c r="AL11" s="1" t="s">
        <v>60</v>
      </c>
      <c r="AM11" s="1" t="s">
        <v>49</v>
      </c>
      <c r="AN11" s="1"/>
      <c r="AO11" s="1" t="s">
        <v>50</v>
      </c>
      <c r="AP11" s="1">
        <v>59.992213021295903</v>
      </c>
      <c r="AQ11" s="1" t="s">
        <v>61</v>
      </c>
      <c r="AR11" s="1"/>
      <c r="AS11" s="1"/>
      <c r="AT11" s="1"/>
    </row>
    <row r="12" spans="1:46" x14ac:dyDescent="0.35">
      <c r="A12" s="1" t="s">
        <v>43</v>
      </c>
      <c r="B12" s="1" t="s">
        <v>44</v>
      </c>
      <c r="C12" s="1" t="s">
        <v>45</v>
      </c>
      <c r="D12" s="1" t="s">
        <v>46</v>
      </c>
      <c r="E12" s="1">
        <v>21</v>
      </c>
      <c r="F12" s="1">
        <v>1</v>
      </c>
      <c r="G12" s="1">
        <v>5</v>
      </c>
      <c r="H12" s="1" t="s">
        <v>46</v>
      </c>
      <c r="I12" s="1">
        <v>1</v>
      </c>
      <c r="J12" s="1">
        <v>0.37525069998810001</v>
      </c>
      <c r="K12" s="1" t="s">
        <v>47</v>
      </c>
      <c r="L12" s="1">
        <v>5</v>
      </c>
      <c r="M12" s="1">
        <v>1</v>
      </c>
      <c r="N12" s="1">
        <v>21</v>
      </c>
      <c r="O12" s="1">
        <v>0</v>
      </c>
      <c r="P12" s="1">
        <v>22.993225299986001</v>
      </c>
      <c r="Q12" s="1"/>
      <c r="R12" s="1"/>
      <c r="S12" s="1"/>
      <c r="T12" s="1"/>
      <c r="U12" s="1"/>
      <c r="V12" s="1">
        <v>22.978964200010498</v>
      </c>
      <c r="W12" s="1">
        <v>22.993225299986001</v>
      </c>
      <c r="X12" s="1">
        <v>23.476431399991199</v>
      </c>
      <c r="Y12" s="1">
        <v>23.476431399991199</v>
      </c>
      <c r="Z12" s="1">
        <v>23.476431399991199</v>
      </c>
      <c r="AA12" s="1">
        <v>23.860503599978902</v>
      </c>
      <c r="AB12" s="1" t="s">
        <v>46</v>
      </c>
      <c r="AC12" s="1">
        <v>1</v>
      </c>
      <c r="AD12" s="1">
        <v>0.37525069998810001</v>
      </c>
      <c r="AE12" s="1" t="s">
        <v>47</v>
      </c>
      <c r="AF12" s="1"/>
      <c r="AG12" s="1"/>
      <c r="AH12" s="1"/>
      <c r="AI12" s="1"/>
      <c r="AJ12" s="1">
        <v>4</v>
      </c>
      <c r="AK12" s="1">
        <v>1</v>
      </c>
      <c r="AL12" s="1" t="s">
        <v>60</v>
      </c>
      <c r="AM12" s="1" t="s">
        <v>49</v>
      </c>
      <c r="AN12" s="1"/>
      <c r="AO12" s="1" t="s">
        <v>50</v>
      </c>
      <c r="AP12" s="1">
        <v>59.992213021295903</v>
      </c>
      <c r="AQ12" s="1" t="s">
        <v>61</v>
      </c>
      <c r="AR12" s="1"/>
      <c r="AS12" s="1"/>
      <c r="AT12" s="1"/>
    </row>
    <row r="13" spans="1:46" x14ac:dyDescent="0.35">
      <c r="A13" s="1" t="s">
        <v>52</v>
      </c>
      <c r="B13" s="1" t="s">
        <v>53</v>
      </c>
      <c r="C13" s="1" t="s">
        <v>45</v>
      </c>
      <c r="D13" s="1" t="s">
        <v>54</v>
      </c>
      <c r="E13" s="1">
        <v>23</v>
      </c>
      <c r="F13" s="1">
        <v>3</v>
      </c>
      <c r="G13" s="1">
        <v>5</v>
      </c>
      <c r="H13" s="1" t="s">
        <v>54</v>
      </c>
      <c r="I13" s="1">
        <v>1</v>
      </c>
      <c r="J13" s="1">
        <v>0.35668169998098098</v>
      </c>
      <c r="K13" s="1" t="s">
        <v>47</v>
      </c>
      <c r="L13" s="1">
        <v>5</v>
      </c>
      <c r="M13" s="1">
        <v>3</v>
      </c>
      <c r="N13" s="1">
        <v>23</v>
      </c>
      <c r="O13" s="1">
        <v>3</v>
      </c>
      <c r="P13" s="1">
        <v>25.159987599996299</v>
      </c>
      <c r="Q13" s="1"/>
      <c r="R13" s="1"/>
      <c r="S13" s="1"/>
      <c r="T13" s="1"/>
      <c r="U13" s="1"/>
      <c r="V13" s="1">
        <v>25.145842200028699</v>
      </c>
      <c r="W13" s="1">
        <v>25.159987599996299</v>
      </c>
      <c r="X13" s="1">
        <v>25.643170499999499</v>
      </c>
      <c r="Y13" s="1">
        <v>25.643170499999499</v>
      </c>
      <c r="Z13" s="1">
        <v>25.643170499999499</v>
      </c>
      <c r="AA13" s="1">
        <v>26.011258799990099</v>
      </c>
      <c r="AB13" s="1" t="s">
        <v>54</v>
      </c>
      <c r="AC13" s="1">
        <v>1</v>
      </c>
      <c r="AD13" s="1">
        <v>0.35668169998098098</v>
      </c>
      <c r="AE13" s="1" t="s">
        <v>47</v>
      </c>
      <c r="AF13" s="1"/>
      <c r="AG13" s="1"/>
      <c r="AH13" s="1"/>
      <c r="AI13" s="1"/>
      <c r="AJ13" s="1">
        <v>4</v>
      </c>
      <c r="AK13" s="1">
        <v>1</v>
      </c>
      <c r="AL13" s="1" t="s">
        <v>60</v>
      </c>
      <c r="AM13" s="1" t="s">
        <v>49</v>
      </c>
      <c r="AN13" s="1"/>
      <c r="AO13" s="1" t="s">
        <v>50</v>
      </c>
      <c r="AP13" s="1">
        <v>59.992213021295903</v>
      </c>
      <c r="AQ13" s="1" t="s">
        <v>61</v>
      </c>
      <c r="AR13" s="1"/>
      <c r="AS13" s="1"/>
      <c r="AT13" s="1"/>
    </row>
    <row r="14" spans="1:46" x14ac:dyDescent="0.35">
      <c r="A14" s="1" t="s">
        <v>52</v>
      </c>
      <c r="B14" s="1" t="s">
        <v>53</v>
      </c>
      <c r="C14" s="1" t="s">
        <v>45</v>
      </c>
      <c r="D14" s="1" t="s">
        <v>54</v>
      </c>
      <c r="E14" s="1">
        <v>25</v>
      </c>
      <c r="F14" s="1">
        <v>1</v>
      </c>
      <c r="G14" s="1">
        <v>6</v>
      </c>
      <c r="H14" s="1" t="s">
        <v>54</v>
      </c>
      <c r="I14" s="1">
        <v>1</v>
      </c>
      <c r="J14" s="1">
        <v>0.33289069996680998</v>
      </c>
      <c r="K14" s="1" t="s">
        <v>47</v>
      </c>
      <c r="L14" s="1">
        <v>6</v>
      </c>
      <c r="M14" s="1">
        <v>1</v>
      </c>
      <c r="N14" s="1">
        <v>25</v>
      </c>
      <c r="O14" s="1">
        <v>3</v>
      </c>
      <c r="P14" s="1">
        <v>26.909694600035401</v>
      </c>
      <c r="Q14" s="1"/>
      <c r="R14" s="1"/>
      <c r="S14" s="1"/>
      <c r="T14" s="1"/>
      <c r="U14" s="1"/>
      <c r="V14" s="1">
        <v>26.895860599994101</v>
      </c>
      <c r="W14" s="1">
        <v>26.909694600035401</v>
      </c>
      <c r="X14" s="1">
        <v>27.3930704999947</v>
      </c>
      <c r="Y14" s="1">
        <v>27.3930704999947</v>
      </c>
      <c r="Z14" s="1">
        <v>27.3930704999947</v>
      </c>
      <c r="AA14" s="1">
        <v>27.743326099996899</v>
      </c>
      <c r="AB14" s="1" t="s">
        <v>54</v>
      </c>
      <c r="AC14" s="1">
        <v>1</v>
      </c>
      <c r="AD14" s="1">
        <v>0.33289069996680998</v>
      </c>
      <c r="AE14" s="1" t="s">
        <v>47</v>
      </c>
      <c r="AF14" s="1"/>
      <c r="AG14" s="1"/>
      <c r="AH14" s="1"/>
      <c r="AI14" s="1"/>
      <c r="AJ14" s="1">
        <v>4</v>
      </c>
      <c r="AK14" s="1">
        <v>1</v>
      </c>
      <c r="AL14" s="1" t="s">
        <v>60</v>
      </c>
      <c r="AM14" s="1" t="s">
        <v>49</v>
      </c>
      <c r="AN14" s="1"/>
      <c r="AO14" s="1" t="s">
        <v>50</v>
      </c>
      <c r="AP14" s="1">
        <v>59.992213021295903</v>
      </c>
      <c r="AQ14" s="1" t="s">
        <v>61</v>
      </c>
      <c r="AR14" s="1"/>
      <c r="AS14" s="1"/>
      <c r="AT14" s="1"/>
    </row>
    <row r="15" spans="1:46" x14ac:dyDescent="0.35">
      <c r="A15" s="1" t="s">
        <v>43</v>
      </c>
      <c r="B15" s="1" t="s">
        <v>44</v>
      </c>
      <c r="C15" s="1" t="s">
        <v>45</v>
      </c>
      <c r="D15" s="1" t="s">
        <v>46</v>
      </c>
      <c r="E15" s="1">
        <v>27</v>
      </c>
      <c r="F15" s="1">
        <v>3</v>
      </c>
      <c r="G15" s="1">
        <v>6</v>
      </c>
      <c r="H15" s="1" t="s">
        <v>46</v>
      </c>
      <c r="I15" s="1">
        <v>1</v>
      </c>
      <c r="J15" s="1">
        <v>0.33229879999998901</v>
      </c>
      <c r="K15" s="1" t="s">
        <v>47</v>
      </c>
      <c r="L15" s="1">
        <v>6</v>
      </c>
      <c r="M15" s="1">
        <v>3</v>
      </c>
      <c r="N15" s="1">
        <v>27</v>
      </c>
      <c r="O15" s="1">
        <v>0</v>
      </c>
      <c r="P15" s="1">
        <v>28.6595449000014</v>
      </c>
      <c r="Q15" s="1"/>
      <c r="R15" s="1"/>
      <c r="S15" s="1"/>
      <c r="T15" s="1"/>
      <c r="U15" s="1"/>
      <c r="V15" s="1">
        <v>28.646607500035302</v>
      </c>
      <c r="W15" s="1">
        <v>28.6595449000014</v>
      </c>
      <c r="X15" s="1">
        <v>29.142646500025801</v>
      </c>
      <c r="Y15" s="1">
        <v>29.142646500025801</v>
      </c>
      <c r="Z15" s="1">
        <v>29.142646500025801</v>
      </c>
      <c r="AA15" s="1">
        <v>29.476519900024801</v>
      </c>
      <c r="AB15" s="1" t="s">
        <v>46</v>
      </c>
      <c r="AC15" s="1">
        <v>1</v>
      </c>
      <c r="AD15" s="1">
        <v>0.33229879999998901</v>
      </c>
      <c r="AE15" s="1" t="s">
        <v>47</v>
      </c>
      <c r="AF15" s="1"/>
      <c r="AG15" s="1"/>
      <c r="AH15" s="1"/>
      <c r="AI15" s="1"/>
      <c r="AJ15" s="1">
        <v>4</v>
      </c>
      <c r="AK15" s="1">
        <v>1</v>
      </c>
      <c r="AL15" s="1" t="s">
        <v>60</v>
      </c>
      <c r="AM15" s="1" t="s">
        <v>49</v>
      </c>
      <c r="AN15" s="1"/>
      <c r="AO15" s="1" t="s">
        <v>50</v>
      </c>
      <c r="AP15" s="1">
        <v>59.992213021295903</v>
      </c>
      <c r="AQ15" s="1" t="s">
        <v>61</v>
      </c>
      <c r="AR15" s="1"/>
      <c r="AS15" s="1"/>
      <c r="AT15" s="1"/>
    </row>
    <row r="16" spans="1:46" x14ac:dyDescent="0.35">
      <c r="A16" s="1" t="s">
        <v>52</v>
      </c>
      <c r="B16" s="1" t="s">
        <v>53</v>
      </c>
      <c r="C16" s="1" t="s">
        <v>45</v>
      </c>
      <c r="D16" s="1" t="s">
        <v>54</v>
      </c>
      <c r="E16" s="1">
        <v>29</v>
      </c>
      <c r="F16" s="1">
        <v>1</v>
      </c>
      <c r="G16" s="1">
        <v>7</v>
      </c>
      <c r="H16" s="1" t="s">
        <v>54</v>
      </c>
      <c r="I16" s="1">
        <v>1</v>
      </c>
      <c r="J16" s="1">
        <v>0.38484070001868498</v>
      </c>
      <c r="K16" s="1" t="s">
        <v>47</v>
      </c>
      <c r="L16" s="1">
        <v>7</v>
      </c>
      <c r="M16" s="1">
        <v>1</v>
      </c>
      <c r="N16" s="1">
        <v>29</v>
      </c>
      <c r="O16" s="1">
        <v>3</v>
      </c>
      <c r="P16" s="1">
        <v>30.342633799999</v>
      </c>
      <c r="Q16" s="1"/>
      <c r="R16" s="1"/>
      <c r="S16" s="1"/>
      <c r="T16" s="1"/>
      <c r="U16" s="1"/>
      <c r="V16" s="1">
        <v>30.3269808000186</v>
      </c>
      <c r="W16" s="1">
        <v>30.342633799999</v>
      </c>
      <c r="X16" s="1">
        <v>30.8260681999963</v>
      </c>
      <c r="Y16" s="1">
        <v>30.8260681999963</v>
      </c>
      <c r="Z16" s="1">
        <v>30.8260681999963</v>
      </c>
      <c r="AA16" s="1">
        <v>31.226377299986702</v>
      </c>
      <c r="AB16" s="1" t="s">
        <v>54</v>
      </c>
      <c r="AC16" s="1">
        <v>1</v>
      </c>
      <c r="AD16" s="1">
        <v>0.38484070001868498</v>
      </c>
      <c r="AE16" s="1" t="s">
        <v>47</v>
      </c>
      <c r="AF16" s="1"/>
      <c r="AG16" s="1"/>
      <c r="AH16" s="1"/>
      <c r="AI16" s="1"/>
      <c r="AJ16" s="1">
        <v>4</v>
      </c>
      <c r="AK16" s="1">
        <v>1</v>
      </c>
      <c r="AL16" s="1" t="s">
        <v>60</v>
      </c>
      <c r="AM16" s="1" t="s">
        <v>49</v>
      </c>
      <c r="AN16" s="1"/>
      <c r="AO16" s="1" t="s">
        <v>50</v>
      </c>
      <c r="AP16" s="1">
        <v>59.992213021295903</v>
      </c>
      <c r="AQ16" s="1" t="s">
        <v>61</v>
      </c>
      <c r="AR16" s="1"/>
      <c r="AS16" s="1"/>
      <c r="AT16" s="1"/>
    </row>
    <row r="17" spans="1:46" x14ac:dyDescent="0.35">
      <c r="A17" s="1" t="s">
        <v>43</v>
      </c>
      <c r="B17" s="1" t="s">
        <v>44</v>
      </c>
      <c r="C17" s="1" t="s">
        <v>45</v>
      </c>
      <c r="D17" s="1" t="s">
        <v>46</v>
      </c>
      <c r="E17" s="1">
        <v>30</v>
      </c>
      <c r="F17" s="1">
        <v>2</v>
      </c>
      <c r="G17" s="1">
        <v>7</v>
      </c>
      <c r="H17" s="1" t="s">
        <v>46</v>
      </c>
      <c r="I17" s="1">
        <v>1</v>
      </c>
      <c r="J17" s="1">
        <v>0.53435909998370301</v>
      </c>
      <c r="K17" s="1" t="s">
        <v>47</v>
      </c>
      <c r="L17" s="1">
        <v>7</v>
      </c>
      <c r="M17" s="1">
        <v>2</v>
      </c>
      <c r="N17" s="1">
        <v>30</v>
      </c>
      <c r="O17" s="1">
        <v>0</v>
      </c>
      <c r="P17" s="1">
        <v>31.242644199985001</v>
      </c>
      <c r="Q17" s="1"/>
      <c r="R17" s="1"/>
      <c r="S17" s="1"/>
      <c r="T17" s="1"/>
      <c r="U17" s="1"/>
      <c r="V17" s="1">
        <v>31.230349700024799</v>
      </c>
      <c r="W17" s="1">
        <v>31.242644199985001</v>
      </c>
      <c r="X17" s="1">
        <v>31.7258543000207</v>
      </c>
      <c r="Y17" s="1">
        <v>31.7258543000207</v>
      </c>
      <c r="Z17" s="1">
        <v>31.7258543000207</v>
      </c>
      <c r="AA17" s="1">
        <v>32.27623269998</v>
      </c>
      <c r="AB17" s="1" t="s">
        <v>46</v>
      </c>
      <c r="AC17" s="1">
        <v>1</v>
      </c>
      <c r="AD17" s="1">
        <v>0.53435909998370301</v>
      </c>
      <c r="AE17" s="1" t="s">
        <v>47</v>
      </c>
      <c r="AF17" s="1"/>
      <c r="AG17" s="1"/>
      <c r="AH17" s="1"/>
      <c r="AI17" s="1"/>
      <c r="AJ17" s="1">
        <v>4</v>
      </c>
      <c r="AK17" s="1">
        <v>1</v>
      </c>
      <c r="AL17" s="1" t="s">
        <v>60</v>
      </c>
      <c r="AM17" s="1" t="s">
        <v>49</v>
      </c>
      <c r="AN17" s="1"/>
      <c r="AO17" s="1" t="s">
        <v>50</v>
      </c>
      <c r="AP17" s="1">
        <v>59.992213021295903</v>
      </c>
      <c r="AQ17" s="1" t="s">
        <v>61</v>
      </c>
      <c r="AR17" s="1"/>
      <c r="AS17" s="1"/>
      <c r="AT17" s="1"/>
    </row>
    <row r="18" spans="1:46" x14ac:dyDescent="0.35">
      <c r="A18" s="1" t="s">
        <v>43</v>
      </c>
      <c r="B18" s="1" t="s">
        <v>44</v>
      </c>
      <c r="C18" s="1" t="s">
        <v>45</v>
      </c>
      <c r="D18" s="1" t="s">
        <v>46</v>
      </c>
      <c r="E18" s="1">
        <v>32</v>
      </c>
      <c r="F18" s="1">
        <v>0</v>
      </c>
      <c r="G18" s="1">
        <v>8</v>
      </c>
      <c r="H18" s="1" t="s">
        <v>46</v>
      </c>
      <c r="I18" s="1">
        <v>1</v>
      </c>
      <c r="J18" s="1">
        <v>0.57659890002105296</v>
      </c>
      <c r="K18" s="1" t="s">
        <v>47</v>
      </c>
      <c r="L18" s="1">
        <v>8</v>
      </c>
      <c r="M18" s="1">
        <v>0</v>
      </c>
      <c r="N18" s="1">
        <v>32</v>
      </c>
      <c r="O18" s="1">
        <v>0</v>
      </c>
      <c r="P18" s="1">
        <v>33.342681000009101</v>
      </c>
      <c r="Q18" s="1"/>
      <c r="R18" s="1"/>
      <c r="S18" s="1"/>
      <c r="T18" s="1"/>
      <c r="U18" s="1"/>
      <c r="V18" s="1">
        <v>33.326683800027197</v>
      </c>
      <c r="W18" s="1">
        <v>33.342681000009101</v>
      </c>
      <c r="X18" s="1">
        <v>33.826132800022599</v>
      </c>
      <c r="Y18" s="1">
        <v>33.826132800022599</v>
      </c>
      <c r="Z18" s="1">
        <v>33.826132800022599</v>
      </c>
      <c r="AA18" s="1">
        <v>34.409752300009103</v>
      </c>
      <c r="AB18" s="1" t="s">
        <v>46</v>
      </c>
      <c r="AC18" s="1">
        <v>1</v>
      </c>
      <c r="AD18" s="1">
        <v>0.57659890002105296</v>
      </c>
      <c r="AE18" s="1" t="s">
        <v>47</v>
      </c>
      <c r="AF18" s="1"/>
      <c r="AG18" s="1"/>
      <c r="AH18" s="1"/>
      <c r="AI18" s="1"/>
      <c r="AJ18" s="1">
        <v>4</v>
      </c>
      <c r="AK18" s="1">
        <v>1</v>
      </c>
      <c r="AL18" s="1" t="s">
        <v>60</v>
      </c>
      <c r="AM18" s="1" t="s">
        <v>49</v>
      </c>
      <c r="AN18" s="1"/>
      <c r="AO18" s="1" t="s">
        <v>50</v>
      </c>
      <c r="AP18" s="1">
        <v>59.992213021295903</v>
      </c>
      <c r="AQ18" s="1" t="s">
        <v>61</v>
      </c>
      <c r="AR18" s="1"/>
      <c r="AS18" s="1"/>
      <c r="AT18" s="1"/>
    </row>
    <row r="19" spans="1:46" x14ac:dyDescent="0.35">
      <c r="A19" s="1" t="s">
        <v>52</v>
      </c>
      <c r="B19" s="1" t="s">
        <v>53</v>
      </c>
      <c r="C19" s="1" t="s">
        <v>45</v>
      </c>
      <c r="D19" s="1" t="s">
        <v>54</v>
      </c>
      <c r="E19" s="1">
        <v>35</v>
      </c>
      <c r="F19" s="1">
        <v>3</v>
      </c>
      <c r="G19" s="1">
        <v>8</v>
      </c>
      <c r="H19" s="1" t="s">
        <v>54</v>
      </c>
      <c r="I19" s="1">
        <v>1</v>
      </c>
      <c r="J19" s="1">
        <v>0.52035340003203601</v>
      </c>
      <c r="K19" s="1" t="s">
        <v>47</v>
      </c>
      <c r="L19" s="1">
        <v>8</v>
      </c>
      <c r="M19" s="1">
        <v>3</v>
      </c>
      <c r="N19" s="1">
        <v>35</v>
      </c>
      <c r="O19" s="1">
        <v>3</v>
      </c>
      <c r="P19" s="1">
        <v>36.5757896000286</v>
      </c>
      <c r="Q19" s="1"/>
      <c r="R19" s="1"/>
      <c r="S19" s="1"/>
      <c r="T19" s="1"/>
      <c r="U19" s="1"/>
      <c r="V19" s="1">
        <v>36.562024799990397</v>
      </c>
      <c r="W19" s="1">
        <v>36.5757896000286</v>
      </c>
      <c r="X19" s="1">
        <v>37.059217100031603</v>
      </c>
      <c r="Y19" s="1">
        <v>37.059217100031603</v>
      </c>
      <c r="Z19" s="1">
        <v>37.059217100031603</v>
      </c>
      <c r="AA19" s="1">
        <v>37.592626099998597</v>
      </c>
      <c r="AB19" s="1" t="s">
        <v>54</v>
      </c>
      <c r="AC19" s="1">
        <v>1</v>
      </c>
      <c r="AD19" s="1">
        <v>0.52035340003203601</v>
      </c>
      <c r="AE19" s="1" t="s">
        <v>47</v>
      </c>
      <c r="AF19" s="1"/>
      <c r="AG19" s="1"/>
      <c r="AH19" s="1"/>
      <c r="AI19" s="1"/>
      <c r="AJ19" s="1">
        <v>4</v>
      </c>
      <c r="AK19" s="1">
        <v>1</v>
      </c>
      <c r="AL19" s="1" t="s">
        <v>60</v>
      </c>
      <c r="AM19" s="1" t="s">
        <v>49</v>
      </c>
      <c r="AN19" s="1"/>
      <c r="AO19" s="1" t="s">
        <v>50</v>
      </c>
      <c r="AP19" s="1">
        <v>59.992213021295903</v>
      </c>
      <c r="AQ19" s="1" t="s">
        <v>61</v>
      </c>
      <c r="AR19" s="1"/>
      <c r="AS19" s="1"/>
      <c r="AT19" s="1"/>
    </row>
    <row r="20" spans="1:46" x14ac:dyDescent="0.35">
      <c r="A20" s="1" t="s">
        <v>52</v>
      </c>
      <c r="B20" s="1" t="s">
        <v>53</v>
      </c>
      <c r="C20" s="1" t="s">
        <v>45</v>
      </c>
      <c r="D20" s="1" t="s">
        <v>54</v>
      </c>
      <c r="E20" s="1">
        <v>38</v>
      </c>
      <c r="F20" s="1">
        <v>2</v>
      </c>
      <c r="G20" s="1">
        <v>9</v>
      </c>
      <c r="H20" s="1" t="s">
        <v>54</v>
      </c>
      <c r="I20" s="1">
        <v>1</v>
      </c>
      <c r="J20" s="1">
        <v>0.48860709997825302</v>
      </c>
      <c r="K20" s="1" t="s">
        <v>47</v>
      </c>
      <c r="L20" s="1">
        <v>9</v>
      </c>
      <c r="M20" s="1">
        <v>2</v>
      </c>
      <c r="N20" s="1">
        <v>38</v>
      </c>
      <c r="O20" s="1">
        <v>3</v>
      </c>
      <c r="P20" s="1">
        <v>39.908849800005498</v>
      </c>
      <c r="Q20" s="1"/>
      <c r="R20" s="1"/>
      <c r="S20" s="1"/>
      <c r="T20" s="1"/>
      <c r="U20" s="1"/>
      <c r="V20" s="1">
        <v>39.893075600033598</v>
      </c>
      <c r="W20" s="1">
        <v>39.908849800005498</v>
      </c>
      <c r="X20" s="1">
        <v>40.392282299988402</v>
      </c>
      <c r="Y20" s="1">
        <v>40.392282299988402</v>
      </c>
      <c r="Z20" s="1">
        <v>40.392282299988402</v>
      </c>
      <c r="AA20" s="1">
        <v>40.892388599982901</v>
      </c>
      <c r="AB20" s="1" t="s">
        <v>54</v>
      </c>
      <c r="AC20" s="1">
        <v>1</v>
      </c>
      <c r="AD20" s="1">
        <v>0.48860709997825302</v>
      </c>
      <c r="AE20" s="1" t="s">
        <v>47</v>
      </c>
      <c r="AF20" s="1"/>
      <c r="AG20" s="1"/>
      <c r="AH20" s="1"/>
      <c r="AI20" s="1"/>
      <c r="AJ20" s="1">
        <v>4</v>
      </c>
      <c r="AK20" s="1">
        <v>1</v>
      </c>
      <c r="AL20" s="1" t="s">
        <v>60</v>
      </c>
      <c r="AM20" s="1" t="s">
        <v>49</v>
      </c>
      <c r="AN20" s="1"/>
      <c r="AO20" s="1" t="s">
        <v>50</v>
      </c>
      <c r="AP20" s="1">
        <v>59.992213021295903</v>
      </c>
      <c r="AQ20" s="1" t="s">
        <v>61</v>
      </c>
      <c r="AR20" s="1"/>
      <c r="AS20" s="1"/>
      <c r="AT20" s="1"/>
    </row>
    <row r="21" spans="1:46" x14ac:dyDescent="0.35">
      <c r="A21" s="1" t="s">
        <v>43</v>
      </c>
      <c r="B21" s="1" t="s">
        <v>44</v>
      </c>
      <c r="C21" s="1" t="s">
        <v>45</v>
      </c>
      <c r="D21" s="1" t="s">
        <v>46</v>
      </c>
      <c r="E21" s="1">
        <v>39</v>
      </c>
      <c r="F21" s="1">
        <v>3</v>
      </c>
      <c r="G21" s="1">
        <v>9</v>
      </c>
      <c r="H21" s="1" t="s">
        <v>46</v>
      </c>
      <c r="I21" s="1">
        <v>1</v>
      </c>
      <c r="J21" s="1">
        <v>0.39475809998111799</v>
      </c>
      <c r="K21" s="1" t="s">
        <v>47</v>
      </c>
      <c r="L21" s="1">
        <v>9</v>
      </c>
      <c r="M21" s="1">
        <v>3</v>
      </c>
      <c r="N21" s="1">
        <v>39</v>
      </c>
      <c r="O21" s="1">
        <v>0</v>
      </c>
      <c r="P21" s="1">
        <v>40.908824299986001</v>
      </c>
      <c r="Q21" s="1"/>
      <c r="R21" s="1"/>
      <c r="S21" s="1"/>
      <c r="T21" s="1"/>
      <c r="U21" s="1"/>
      <c r="V21" s="1">
        <v>40.894701800017998</v>
      </c>
      <c r="W21" s="1">
        <v>40.908824299986001</v>
      </c>
      <c r="X21" s="1">
        <v>41.392093000002198</v>
      </c>
      <c r="Y21" s="1">
        <v>41.392093000002198</v>
      </c>
      <c r="Z21" s="1">
        <v>41.392093000002198</v>
      </c>
      <c r="AA21" s="1">
        <v>41.792482300021199</v>
      </c>
      <c r="AB21" s="1" t="s">
        <v>46</v>
      </c>
      <c r="AC21" s="1">
        <v>1</v>
      </c>
      <c r="AD21" s="1">
        <v>0.39475809998111799</v>
      </c>
      <c r="AE21" s="1" t="s">
        <v>47</v>
      </c>
      <c r="AF21" s="1"/>
      <c r="AG21" s="1"/>
      <c r="AH21" s="1"/>
      <c r="AI21" s="1"/>
      <c r="AJ21" s="1">
        <v>4</v>
      </c>
      <c r="AK21" s="1">
        <v>1</v>
      </c>
      <c r="AL21" s="1" t="s">
        <v>60</v>
      </c>
      <c r="AM21" s="1" t="s">
        <v>49</v>
      </c>
      <c r="AN21" s="1"/>
      <c r="AO21" s="1" t="s">
        <v>50</v>
      </c>
      <c r="AP21" s="1">
        <v>59.992213021295903</v>
      </c>
      <c r="AQ21" s="1" t="s">
        <v>61</v>
      </c>
      <c r="AR21" s="1"/>
      <c r="AS21" s="1"/>
      <c r="AT21" s="1"/>
    </row>
    <row r="22" spans="1:46" x14ac:dyDescent="0.35">
      <c r="A22" s="1" t="s">
        <v>43</v>
      </c>
      <c r="B22" s="1" t="s">
        <v>53</v>
      </c>
      <c r="C22" s="1" t="s">
        <v>55</v>
      </c>
      <c r="D22" s="1" t="s">
        <v>54</v>
      </c>
      <c r="E22" s="1">
        <v>1</v>
      </c>
      <c r="F22" s="1">
        <v>1</v>
      </c>
      <c r="G22" s="1">
        <v>0</v>
      </c>
      <c r="H22" s="1" t="s">
        <v>54</v>
      </c>
      <c r="I22" s="1">
        <v>1</v>
      </c>
      <c r="J22" s="1">
        <v>0.40057820000220001</v>
      </c>
      <c r="K22" s="1" t="s">
        <v>47</v>
      </c>
      <c r="L22" s="1">
        <v>0</v>
      </c>
      <c r="M22" s="1">
        <v>1</v>
      </c>
      <c r="N22" s="1">
        <v>1</v>
      </c>
      <c r="O22" s="1">
        <v>1</v>
      </c>
      <c r="P22" s="1">
        <v>3.1162903999793299</v>
      </c>
      <c r="Q22" s="1"/>
      <c r="R22" s="1"/>
      <c r="S22" s="1"/>
      <c r="T22" s="1"/>
      <c r="U22" s="1"/>
      <c r="V22" s="1">
        <v>3.1136312999879001</v>
      </c>
      <c r="W22" s="1">
        <v>3.1162903999793299</v>
      </c>
      <c r="X22" s="1">
        <v>3.6107501999940701</v>
      </c>
      <c r="Y22" s="1">
        <v>3.6107501999940701</v>
      </c>
      <c r="Z22" s="1">
        <v>3.6107501999940701</v>
      </c>
      <c r="AA22" s="1">
        <v>4.0276323999860297</v>
      </c>
      <c r="AB22" s="1" t="s">
        <v>54</v>
      </c>
      <c r="AC22" s="1">
        <v>1</v>
      </c>
      <c r="AD22" s="1">
        <v>0.40057820000220001</v>
      </c>
      <c r="AE22" s="1" t="s">
        <v>47</v>
      </c>
      <c r="AF22" s="1"/>
      <c r="AG22" s="1"/>
      <c r="AH22" s="1"/>
      <c r="AI22" s="1"/>
      <c r="AJ22" s="1">
        <v>4</v>
      </c>
      <c r="AK22" s="1">
        <v>1</v>
      </c>
      <c r="AL22" s="1" t="s">
        <v>60</v>
      </c>
      <c r="AM22" s="1" t="s">
        <v>49</v>
      </c>
      <c r="AN22" s="1"/>
      <c r="AO22" s="1" t="s">
        <v>50</v>
      </c>
      <c r="AP22" s="1">
        <v>59.992213021295903</v>
      </c>
      <c r="AQ22" s="1" t="s">
        <v>61</v>
      </c>
      <c r="AR22" s="1"/>
      <c r="AS22" s="1"/>
      <c r="AT22" s="1"/>
    </row>
    <row r="23" spans="1:46" x14ac:dyDescent="0.35">
      <c r="A23" s="1" t="s">
        <v>52</v>
      </c>
      <c r="B23" s="1" t="s">
        <v>44</v>
      </c>
      <c r="C23" s="1" t="s">
        <v>55</v>
      </c>
      <c r="D23" s="1" t="s">
        <v>46</v>
      </c>
      <c r="E23" s="1">
        <v>3</v>
      </c>
      <c r="F23" s="1">
        <v>3</v>
      </c>
      <c r="G23" s="1">
        <v>0</v>
      </c>
      <c r="H23" s="1" t="s">
        <v>46</v>
      </c>
      <c r="I23" s="1">
        <v>1</v>
      </c>
      <c r="J23" s="1">
        <v>0.43523809994803703</v>
      </c>
      <c r="K23" s="1" t="s">
        <v>47</v>
      </c>
      <c r="L23" s="1">
        <v>0</v>
      </c>
      <c r="M23" s="1">
        <v>3</v>
      </c>
      <c r="N23" s="1">
        <v>3</v>
      </c>
      <c r="O23" s="1">
        <v>2</v>
      </c>
      <c r="P23" s="1">
        <v>5.0271209999918902</v>
      </c>
      <c r="Q23" s="1"/>
      <c r="R23" s="1"/>
      <c r="S23" s="1"/>
      <c r="T23" s="1"/>
      <c r="U23" s="1"/>
      <c r="V23" s="1">
        <v>5.0129027999937499</v>
      </c>
      <c r="W23" s="1">
        <v>5.0271209999918902</v>
      </c>
      <c r="X23" s="1">
        <v>5.5104252999881203</v>
      </c>
      <c r="Y23" s="1">
        <v>5.5104252999881203</v>
      </c>
      <c r="Z23" s="1">
        <v>5.5104252999881203</v>
      </c>
      <c r="AA23" s="1">
        <v>5.9608134999871201</v>
      </c>
      <c r="AB23" s="1" t="s">
        <v>46</v>
      </c>
      <c r="AC23" s="1">
        <v>1</v>
      </c>
      <c r="AD23" s="1">
        <v>0.43523809994803703</v>
      </c>
      <c r="AE23" s="1" t="s">
        <v>47</v>
      </c>
      <c r="AF23" s="1"/>
      <c r="AG23" s="1"/>
      <c r="AH23" s="1"/>
      <c r="AI23" s="1"/>
      <c r="AJ23" s="1">
        <v>4</v>
      </c>
      <c r="AK23" s="1">
        <v>1</v>
      </c>
      <c r="AL23" s="1" t="s">
        <v>60</v>
      </c>
      <c r="AM23" s="1" t="s">
        <v>49</v>
      </c>
      <c r="AN23" s="1"/>
      <c r="AO23" s="1" t="s">
        <v>50</v>
      </c>
      <c r="AP23" s="1">
        <v>59.992213021295903</v>
      </c>
      <c r="AQ23" s="1" t="s">
        <v>61</v>
      </c>
      <c r="AR23" s="1"/>
      <c r="AS23" s="1"/>
      <c r="AT23" s="1"/>
    </row>
    <row r="24" spans="1:46" x14ac:dyDescent="0.35">
      <c r="A24" s="1" t="s">
        <v>52</v>
      </c>
      <c r="B24" s="1" t="s">
        <v>44</v>
      </c>
      <c r="C24" s="1" t="s">
        <v>55</v>
      </c>
      <c r="D24" s="1" t="s">
        <v>46</v>
      </c>
      <c r="E24" s="1">
        <v>5</v>
      </c>
      <c r="F24" s="1">
        <v>1</v>
      </c>
      <c r="G24" s="1">
        <v>1</v>
      </c>
      <c r="H24" s="1" t="s">
        <v>46</v>
      </c>
      <c r="I24" s="1">
        <v>1</v>
      </c>
      <c r="J24" s="1">
        <v>0.56304710003314495</v>
      </c>
      <c r="K24" s="1" t="s">
        <v>47</v>
      </c>
      <c r="L24" s="1">
        <v>1</v>
      </c>
      <c r="M24" s="1">
        <v>1</v>
      </c>
      <c r="N24" s="1">
        <v>5</v>
      </c>
      <c r="O24" s="1">
        <v>2</v>
      </c>
      <c r="P24" s="1">
        <v>6.8938129000016399</v>
      </c>
      <c r="Q24" s="1"/>
      <c r="R24" s="1"/>
      <c r="S24" s="1"/>
      <c r="T24" s="1"/>
      <c r="U24" s="1"/>
      <c r="V24" s="1">
        <v>6.8779080000240302</v>
      </c>
      <c r="W24" s="1">
        <v>6.8938129000016399</v>
      </c>
      <c r="X24" s="1">
        <v>7.3772325000027097</v>
      </c>
      <c r="Y24" s="1">
        <v>7.3772325000027097</v>
      </c>
      <c r="Z24" s="1">
        <v>7.3772325000027097</v>
      </c>
      <c r="AA24" s="1">
        <v>7.9441465000272702</v>
      </c>
      <c r="AB24" s="1" t="s">
        <v>46</v>
      </c>
      <c r="AC24" s="1">
        <v>1</v>
      </c>
      <c r="AD24" s="1">
        <v>0.56304710003314495</v>
      </c>
      <c r="AE24" s="1" t="s">
        <v>47</v>
      </c>
      <c r="AF24" s="1"/>
      <c r="AG24" s="1"/>
      <c r="AH24" s="1"/>
      <c r="AI24" s="1"/>
      <c r="AJ24" s="1">
        <v>4</v>
      </c>
      <c r="AK24" s="1">
        <v>1</v>
      </c>
      <c r="AL24" s="1" t="s">
        <v>60</v>
      </c>
      <c r="AM24" s="1" t="s">
        <v>49</v>
      </c>
      <c r="AN24" s="1"/>
      <c r="AO24" s="1" t="s">
        <v>50</v>
      </c>
      <c r="AP24" s="1">
        <v>59.992213021295903</v>
      </c>
      <c r="AQ24" s="1" t="s">
        <v>61</v>
      </c>
      <c r="AR24" s="1"/>
      <c r="AS24" s="1"/>
      <c r="AT24" s="1"/>
    </row>
    <row r="25" spans="1:46" x14ac:dyDescent="0.35">
      <c r="A25" s="1" t="s">
        <v>43</v>
      </c>
      <c r="B25" s="1" t="s">
        <v>53</v>
      </c>
      <c r="C25" s="1" t="s">
        <v>55</v>
      </c>
      <c r="D25" s="1" t="s">
        <v>54</v>
      </c>
      <c r="E25" s="1">
        <v>7</v>
      </c>
      <c r="F25" s="1">
        <v>3</v>
      </c>
      <c r="G25" s="1">
        <v>1</v>
      </c>
      <c r="H25" s="1" t="s">
        <v>54</v>
      </c>
      <c r="I25" s="1">
        <v>1</v>
      </c>
      <c r="J25" s="1">
        <v>0.46897020004689599</v>
      </c>
      <c r="K25" s="1" t="s">
        <v>47</v>
      </c>
      <c r="L25" s="1">
        <v>1</v>
      </c>
      <c r="M25" s="1">
        <v>3</v>
      </c>
      <c r="N25" s="1">
        <v>7</v>
      </c>
      <c r="O25" s="1">
        <v>1</v>
      </c>
      <c r="P25" s="1">
        <v>8.9602549999835901</v>
      </c>
      <c r="Q25" s="1"/>
      <c r="R25" s="1"/>
      <c r="S25" s="1"/>
      <c r="T25" s="1"/>
      <c r="U25" s="1"/>
      <c r="V25" s="1">
        <v>8.9450801000348292</v>
      </c>
      <c r="W25" s="1">
        <v>8.9602549999835901</v>
      </c>
      <c r="X25" s="1">
        <v>9.4435897999792306</v>
      </c>
      <c r="Y25" s="1">
        <v>9.4435897999792306</v>
      </c>
      <c r="Z25" s="1">
        <v>9.4435897999792306</v>
      </c>
      <c r="AA25" s="1">
        <v>9.9274802000145392</v>
      </c>
      <c r="AB25" s="1" t="s">
        <v>54</v>
      </c>
      <c r="AC25" s="1">
        <v>1</v>
      </c>
      <c r="AD25" s="1">
        <v>0.46897020004689599</v>
      </c>
      <c r="AE25" s="1" t="s">
        <v>47</v>
      </c>
      <c r="AF25" s="1"/>
      <c r="AG25" s="1"/>
      <c r="AH25" s="1"/>
      <c r="AI25" s="1"/>
      <c r="AJ25" s="1">
        <v>4</v>
      </c>
      <c r="AK25" s="1">
        <v>1</v>
      </c>
      <c r="AL25" s="1" t="s">
        <v>60</v>
      </c>
      <c r="AM25" s="1" t="s">
        <v>49</v>
      </c>
      <c r="AN25" s="1"/>
      <c r="AO25" s="1" t="s">
        <v>50</v>
      </c>
      <c r="AP25" s="1">
        <v>59.992213021295903</v>
      </c>
      <c r="AQ25" s="1" t="s">
        <v>61</v>
      </c>
      <c r="AR25" s="1"/>
      <c r="AS25" s="1"/>
      <c r="AT25" s="1"/>
    </row>
    <row r="26" spans="1:46" x14ac:dyDescent="0.35">
      <c r="A26" s="1" t="s">
        <v>52</v>
      </c>
      <c r="B26" s="1" t="s">
        <v>44</v>
      </c>
      <c r="C26" s="1" t="s">
        <v>55</v>
      </c>
      <c r="D26" s="1" t="s">
        <v>46</v>
      </c>
      <c r="E26" s="1">
        <v>10</v>
      </c>
      <c r="F26" s="1">
        <v>2</v>
      </c>
      <c r="G26" s="1">
        <v>2</v>
      </c>
      <c r="H26" s="1" t="s">
        <v>46</v>
      </c>
      <c r="I26" s="1">
        <v>1</v>
      </c>
      <c r="J26" s="1">
        <v>0.41601009998703298</v>
      </c>
      <c r="K26" s="1" t="s">
        <v>47</v>
      </c>
      <c r="L26" s="1">
        <v>2</v>
      </c>
      <c r="M26" s="1">
        <v>2</v>
      </c>
      <c r="N26" s="1">
        <v>10</v>
      </c>
      <c r="O26" s="1">
        <v>2</v>
      </c>
      <c r="P26" s="1">
        <v>11.793620300013499</v>
      </c>
      <c r="Q26" s="1"/>
      <c r="R26" s="1"/>
      <c r="S26" s="1"/>
      <c r="T26" s="1"/>
      <c r="U26" s="1"/>
      <c r="V26" s="1">
        <v>11.779275799984999</v>
      </c>
      <c r="W26" s="1">
        <v>11.793620300013499</v>
      </c>
      <c r="X26" s="1">
        <v>12.2768548000021</v>
      </c>
      <c r="Y26" s="1">
        <v>12.2768548000021</v>
      </c>
      <c r="Z26" s="1">
        <v>12.2768548000021</v>
      </c>
      <c r="AA26" s="1">
        <v>12.6940534000168</v>
      </c>
      <c r="AB26" s="1" t="s">
        <v>46</v>
      </c>
      <c r="AC26" s="1">
        <v>1</v>
      </c>
      <c r="AD26" s="1">
        <v>0.41601009998703298</v>
      </c>
      <c r="AE26" s="1" t="s">
        <v>47</v>
      </c>
      <c r="AF26" s="1"/>
      <c r="AG26" s="1"/>
      <c r="AH26" s="1"/>
      <c r="AI26" s="1"/>
      <c r="AJ26" s="1">
        <v>4</v>
      </c>
      <c r="AK26" s="1">
        <v>1</v>
      </c>
      <c r="AL26" s="1" t="s">
        <v>60</v>
      </c>
      <c r="AM26" s="1" t="s">
        <v>49</v>
      </c>
      <c r="AN26" s="1"/>
      <c r="AO26" s="1" t="s">
        <v>50</v>
      </c>
      <c r="AP26" s="1">
        <v>59.992213021295903</v>
      </c>
      <c r="AQ26" s="1" t="s">
        <v>61</v>
      </c>
      <c r="AR26" s="1"/>
      <c r="AS26" s="1"/>
      <c r="AT26" s="1"/>
    </row>
    <row r="27" spans="1:46" x14ac:dyDescent="0.35">
      <c r="A27" s="1" t="s">
        <v>43</v>
      </c>
      <c r="B27" s="1" t="s">
        <v>53</v>
      </c>
      <c r="C27" s="1" t="s">
        <v>55</v>
      </c>
      <c r="D27" s="1" t="s">
        <v>54</v>
      </c>
      <c r="E27" s="1">
        <v>11</v>
      </c>
      <c r="F27" s="1">
        <v>3</v>
      </c>
      <c r="G27" s="1">
        <v>2</v>
      </c>
      <c r="H27" s="1" t="s">
        <v>54</v>
      </c>
      <c r="I27" s="1">
        <v>1</v>
      </c>
      <c r="J27" s="1">
        <v>0.45059059996856299</v>
      </c>
      <c r="K27" s="1" t="s">
        <v>47</v>
      </c>
      <c r="L27" s="1">
        <v>2</v>
      </c>
      <c r="M27" s="1">
        <v>3</v>
      </c>
      <c r="N27" s="1">
        <v>11</v>
      </c>
      <c r="O27" s="1">
        <v>1</v>
      </c>
      <c r="P27" s="1">
        <v>12.7102533000288</v>
      </c>
      <c r="Q27" s="1"/>
      <c r="R27" s="1"/>
      <c r="S27" s="1"/>
      <c r="T27" s="1"/>
      <c r="U27" s="1"/>
      <c r="V27" s="1">
        <v>12.695832700002899</v>
      </c>
      <c r="W27" s="1">
        <v>12.7102533000288</v>
      </c>
      <c r="X27" s="1">
        <v>13.193521499983</v>
      </c>
      <c r="Y27" s="1">
        <v>13.193521499983</v>
      </c>
      <c r="Z27" s="1">
        <v>13.193521499983</v>
      </c>
      <c r="AA27" s="1">
        <v>13.661563300003699</v>
      </c>
      <c r="AB27" s="1" t="s">
        <v>54</v>
      </c>
      <c r="AC27" s="1">
        <v>1</v>
      </c>
      <c r="AD27" s="1">
        <v>0.45059059996856299</v>
      </c>
      <c r="AE27" s="1" t="s">
        <v>47</v>
      </c>
      <c r="AF27" s="1"/>
      <c r="AG27" s="1"/>
      <c r="AH27" s="1"/>
      <c r="AI27" s="1"/>
      <c r="AJ27" s="1">
        <v>4</v>
      </c>
      <c r="AK27" s="1">
        <v>1</v>
      </c>
      <c r="AL27" s="1" t="s">
        <v>60</v>
      </c>
      <c r="AM27" s="1" t="s">
        <v>49</v>
      </c>
      <c r="AN27" s="1"/>
      <c r="AO27" s="1" t="s">
        <v>50</v>
      </c>
      <c r="AP27" s="1">
        <v>59.992213021295903</v>
      </c>
      <c r="AQ27" s="1" t="s">
        <v>61</v>
      </c>
      <c r="AR27" s="1"/>
      <c r="AS27" s="1"/>
      <c r="AT27" s="1"/>
    </row>
    <row r="28" spans="1:46" x14ac:dyDescent="0.35">
      <c r="A28" s="1" t="s">
        <v>52</v>
      </c>
      <c r="B28" s="1" t="s">
        <v>44</v>
      </c>
      <c r="C28" s="1" t="s">
        <v>55</v>
      </c>
      <c r="D28" s="1" t="s">
        <v>46</v>
      </c>
      <c r="E28" s="1">
        <v>12</v>
      </c>
      <c r="F28" s="1">
        <v>0</v>
      </c>
      <c r="G28" s="1">
        <v>3</v>
      </c>
      <c r="H28" s="1" t="s">
        <v>46</v>
      </c>
      <c r="I28" s="1">
        <v>1</v>
      </c>
      <c r="J28" s="1">
        <v>0.407369399967137</v>
      </c>
      <c r="K28" s="1" t="s">
        <v>47</v>
      </c>
      <c r="L28" s="1">
        <v>3</v>
      </c>
      <c r="M28" s="1">
        <v>0</v>
      </c>
      <c r="N28" s="1">
        <v>12</v>
      </c>
      <c r="O28" s="1">
        <v>2</v>
      </c>
      <c r="P28" s="1">
        <v>13.6768318000249</v>
      </c>
      <c r="Q28" s="1"/>
      <c r="R28" s="1"/>
      <c r="S28" s="1"/>
      <c r="T28" s="1"/>
      <c r="U28" s="1"/>
      <c r="V28" s="1">
        <v>13.666099200025201</v>
      </c>
      <c r="W28" s="1">
        <v>13.6768318000249</v>
      </c>
      <c r="X28" s="1">
        <v>14.1767421999829</v>
      </c>
      <c r="Y28" s="1">
        <v>14.1767421999829</v>
      </c>
      <c r="Z28" s="1">
        <v>14.1767421999829</v>
      </c>
      <c r="AA28" s="1">
        <v>14.594068699982</v>
      </c>
      <c r="AB28" s="1" t="s">
        <v>46</v>
      </c>
      <c r="AC28" s="1">
        <v>1</v>
      </c>
      <c r="AD28" s="1">
        <v>0.407369399967137</v>
      </c>
      <c r="AE28" s="1" t="s">
        <v>47</v>
      </c>
      <c r="AF28" s="1"/>
      <c r="AG28" s="1"/>
      <c r="AH28" s="1"/>
      <c r="AI28" s="1"/>
      <c r="AJ28" s="1">
        <v>4</v>
      </c>
      <c r="AK28" s="1">
        <v>1</v>
      </c>
      <c r="AL28" s="1" t="s">
        <v>60</v>
      </c>
      <c r="AM28" s="1" t="s">
        <v>49</v>
      </c>
      <c r="AN28" s="1"/>
      <c r="AO28" s="1" t="s">
        <v>50</v>
      </c>
      <c r="AP28" s="1">
        <v>59.992213021295903</v>
      </c>
      <c r="AQ28" s="1" t="s">
        <v>61</v>
      </c>
      <c r="AR28" s="1"/>
      <c r="AS28" s="1"/>
      <c r="AT28" s="1"/>
    </row>
    <row r="29" spans="1:46" x14ac:dyDescent="0.35">
      <c r="A29" s="1" t="s">
        <v>43</v>
      </c>
      <c r="B29" s="1" t="s">
        <v>53</v>
      </c>
      <c r="C29" s="1" t="s">
        <v>55</v>
      </c>
      <c r="D29" s="1" t="s">
        <v>54</v>
      </c>
      <c r="E29" s="1">
        <v>15</v>
      </c>
      <c r="F29" s="1">
        <v>3</v>
      </c>
      <c r="G29" s="1">
        <v>3</v>
      </c>
      <c r="H29" s="1" t="s">
        <v>54</v>
      </c>
      <c r="I29" s="1">
        <v>1</v>
      </c>
      <c r="J29" s="1">
        <v>0.65557810000609595</v>
      </c>
      <c r="K29" s="1" t="s">
        <v>47</v>
      </c>
      <c r="L29" s="1">
        <v>3</v>
      </c>
      <c r="M29" s="1">
        <v>3</v>
      </c>
      <c r="N29" s="1">
        <v>15</v>
      </c>
      <c r="O29" s="1">
        <v>1</v>
      </c>
      <c r="P29" s="1">
        <v>16.626845600025199</v>
      </c>
      <c r="Q29" s="1"/>
      <c r="R29" s="1"/>
      <c r="S29" s="1"/>
      <c r="T29" s="1"/>
      <c r="U29" s="1"/>
      <c r="V29" s="1">
        <v>16.6109437000122</v>
      </c>
      <c r="W29" s="1">
        <v>16.626845600025199</v>
      </c>
      <c r="X29" s="1">
        <v>17.1099864999996</v>
      </c>
      <c r="Y29" s="1">
        <v>17.1099864999996</v>
      </c>
      <c r="Z29" s="1">
        <v>17.1099864999996</v>
      </c>
      <c r="AA29" s="1">
        <v>17.777004899980899</v>
      </c>
      <c r="AB29" s="1" t="s">
        <v>54</v>
      </c>
      <c r="AC29" s="1">
        <v>1</v>
      </c>
      <c r="AD29" s="1">
        <v>0.65557810000609595</v>
      </c>
      <c r="AE29" s="1" t="s">
        <v>47</v>
      </c>
      <c r="AF29" s="1"/>
      <c r="AG29" s="1"/>
      <c r="AH29" s="1"/>
      <c r="AI29" s="1"/>
      <c r="AJ29" s="1">
        <v>4</v>
      </c>
      <c r="AK29" s="1">
        <v>1</v>
      </c>
      <c r="AL29" s="1" t="s">
        <v>60</v>
      </c>
      <c r="AM29" s="1" t="s">
        <v>49</v>
      </c>
      <c r="AN29" s="1"/>
      <c r="AO29" s="1" t="s">
        <v>50</v>
      </c>
      <c r="AP29" s="1">
        <v>59.992213021295903</v>
      </c>
      <c r="AQ29" s="1" t="s">
        <v>61</v>
      </c>
      <c r="AR29" s="1"/>
      <c r="AS29" s="1"/>
      <c r="AT29" s="1"/>
    </row>
    <row r="30" spans="1:46" x14ac:dyDescent="0.35">
      <c r="A30" s="1" t="s">
        <v>52</v>
      </c>
      <c r="B30" s="1" t="s">
        <v>44</v>
      </c>
      <c r="C30" s="1" t="s">
        <v>55</v>
      </c>
      <c r="D30" s="1" t="s">
        <v>46</v>
      </c>
      <c r="E30" s="1">
        <v>16</v>
      </c>
      <c r="F30" s="1">
        <v>0</v>
      </c>
      <c r="G30" s="1">
        <v>4</v>
      </c>
      <c r="H30" s="1" t="s">
        <v>46</v>
      </c>
      <c r="I30" s="1">
        <v>1</v>
      </c>
      <c r="J30" s="1">
        <v>0.67391880002105597</v>
      </c>
      <c r="K30" s="1" t="s">
        <v>47</v>
      </c>
      <c r="L30" s="1">
        <v>4</v>
      </c>
      <c r="M30" s="1">
        <v>0</v>
      </c>
      <c r="N30" s="1">
        <v>16</v>
      </c>
      <c r="O30" s="1">
        <v>2</v>
      </c>
      <c r="P30" s="1">
        <v>17.793292500020399</v>
      </c>
      <c r="Q30" s="1"/>
      <c r="R30" s="1"/>
      <c r="S30" s="1"/>
      <c r="T30" s="1"/>
      <c r="U30" s="1"/>
      <c r="V30" s="1">
        <v>17.778850800008499</v>
      </c>
      <c r="W30" s="1">
        <v>17.793292500020399</v>
      </c>
      <c r="X30" s="1">
        <v>18.276505000016101</v>
      </c>
      <c r="Y30" s="1">
        <v>18.276505000016101</v>
      </c>
      <c r="Z30" s="1">
        <v>18.276505000016101</v>
      </c>
      <c r="AA30" s="1">
        <v>18.960737599991202</v>
      </c>
      <c r="AB30" s="1" t="s">
        <v>46</v>
      </c>
      <c r="AC30" s="1">
        <v>1</v>
      </c>
      <c r="AD30" s="1">
        <v>0.67391880002105597</v>
      </c>
      <c r="AE30" s="1" t="s">
        <v>47</v>
      </c>
      <c r="AF30" s="1"/>
      <c r="AG30" s="1"/>
      <c r="AH30" s="1"/>
      <c r="AI30" s="1"/>
      <c r="AJ30" s="1">
        <v>4</v>
      </c>
      <c r="AK30" s="1">
        <v>1</v>
      </c>
      <c r="AL30" s="1" t="s">
        <v>60</v>
      </c>
      <c r="AM30" s="1" t="s">
        <v>49</v>
      </c>
      <c r="AN30" s="1"/>
      <c r="AO30" s="1" t="s">
        <v>50</v>
      </c>
      <c r="AP30" s="1">
        <v>59.992213021295903</v>
      </c>
      <c r="AQ30" s="1" t="s">
        <v>61</v>
      </c>
      <c r="AR30" s="1"/>
      <c r="AS30" s="1"/>
      <c r="AT30" s="1"/>
    </row>
    <row r="31" spans="1:46" x14ac:dyDescent="0.35">
      <c r="A31" s="1" t="s">
        <v>43</v>
      </c>
      <c r="B31" s="1" t="s">
        <v>53</v>
      </c>
      <c r="C31" s="1" t="s">
        <v>55</v>
      </c>
      <c r="D31" s="1" t="s">
        <v>54</v>
      </c>
      <c r="E31" s="1">
        <v>19</v>
      </c>
      <c r="F31" s="1">
        <v>3</v>
      </c>
      <c r="G31" s="1">
        <v>4</v>
      </c>
      <c r="H31" s="1" t="s">
        <v>54</v>
      </c>
      <c r="I31" s="1">
        <v>1</v>
      </c>
      <c r="J31" s="1">
        <v>0.68295789998956002</v>
      </c>
      <c r="K31" s="1" t="s">
        <v>47</v>
      </c>
      <c r="L31" s="1">
        <v>4</v>
      </c>
      <c r="M31" s="1">
        <v>3</v>
      </c>
      <c r="N31" s="1">
        <v>19</v>
      </c>
      <c r="O31" s="1">
        <v>1</v>
      </c>
      <c r="P31" s="1">
        <v>20.793214500008599</v>
      </c>
      <c r="Q31" s="1"/>
      <c r="R31" s="1"/>
      <c r="S31" s="1"/>
      <c r="T31" s="1"/>
      <c r="U31" s="1"/>
      <c r="V31" s="1">
        <v>20.779208199994098</v>
      </c>
      <c r="W31" s="1">
        <v>20.793214500008599</v>
      </c>
      <c r="X31" s="1">
        <v>21.276414300024001</v>
      </c>
      <c r="Y31" s="1">
        <v>21.276414300024001</v>
      </c>
      <c r="Z31" s="1">
        <v>21.276414300024001</v>
      </c>
      <c r="AA31" s="1">
        <v>21.9601739000063</v>
      </c>
      <c r="AB31" s="1" t="s">
        <v>54</v>
      </c>
      <c r="AC31" s="1">
        <v>1</v>
      </c>
      <c r="AD31" s="1">
        <v>0.68295789998956002</v>
      </c>
      <c r="AE31" s="1" t="s">
        <v>47</v>
      </c>
      <c r="AF31" s="1"/>
      <c r="AG31" s="1"/>
      <c r="AH31" s="1"/>
      <c r="AI31" s="1"/>
      <c r="AJ31" s="1">
        <v>4</v>
      </c>
      <c r="AK31" s="1">
        <v>1</v>
      </c>
      <c r="AL31" s="1" t="s">
        <v>60</v>
      </c>
      <c r="AM31" s="1" t="s">
        <v>49</v>
      </c>
      <c r="AN31" s="1"/>
      <c r="AO31" s="1" t="s">
        <v>50</v>
      </c>
      <c r="AP31" s="1">
        <v>59.992213021295903</v>
      </c>
      <c r="AQ31" s="1" t="s">
        <v>61</v>
      </c>
      <c r="AR31" s="1"/>
      <c r="AS31" s="1"/>
      <c r="AT31" s="1"/>
    </row>
    <row r="32" spans="1:46" x14ac:dyDescent="0.35">
      <c r="A32" s="1" t="s">
        <v>52</v>
      </c>
      <c r="B32" s="1" t="s">
        <v>44</v>
      </c>
      <c r="C32" s="1" t="s">
        <v>55</v>
      </c>
      <c r="D32" s="1" t="s">
        <v>46</v>
      </c>
      <c r="E32" s="1">
        <v>20</v>
      </c>
      <c r="F32" s="1">
        <v>0</v>
      </c>
      <c r="G32" s="1">
        <v>5</v>
      </c>
      <c r="H32" s="1" t="s">
        <v>46</v>
      </c>
      <c r="I32" s="1">
        <v>1</v>
      </c>
      <c r="J32" s="1">
        <v>0.50833300000522197</v>
      </c>
      <c r="K32" s="1" t="s">
        <v>47</v>
      </c>
      <c r="L32" s="1">
        <v>5</v>
      </c>
      <c r="M32" s="1">
        <v>0</v>
      </c>
      <c r="N32" s="1">
        <v>20</v>
      </c>
      <c r="O32" s="1">
        <v>2</v>
      </c>
      <c r="P32" s="1">
        <v>21.976548900012801</v>
      </c>
      <c r="Q32" s="1"/>
      <c r="R32" s="1"/>
      <c r="S32" s="1"/>
      <c r="T32" s="1"/>
      <c r="U32" s="1"/>
      <c r="V32" s="1">
        <v>21.962743700016201</v>
      </c>
      <c r="W32" s="1">
        <v>21.976548900012801</v>
      </c>
      <c r="X32" s="1">
        <v>22.459929000004099</v>
      </c>
      <c r="Y32" s="1">
        <v>22.459929000004099</v>
      </c>
      <c r="Z32" s="1">
        <v>22.459929000004099</v>
      </c>
      <c r="AA32" s="1">
        <v>22.976709300011802</v>
      </c>
      <c r="AB32" s="1" t="s">
        <v>46</v>
      </c>
      <c r="AC32" s="1">
        <v>1</v>
      </c>
      <c r="AD32" s="1">
        <v>0.50833300000522197</v>
      </c>
      <c r="AE32" s="1" t="s">
        <v>47</v>
      </c>
      <c r="AF32" s="1"/>
      <c r="AG32" s="1"/>
      <c r="AH32" s="1"/>
      <c r="AI32" s="1"/>
      <c r="AJ32" s="1">
        <v>4</v>
      </c>
      <c r="AK32" s="1">
        <v>1</v>
      </c>
      <c r="AL32" s="1" t="s">
        <v>60</v>
      </c>
      <c r="AM32" s="1" t="s">
        <v>49</v>
      </c>
      <c r="AN32" s="1"/>
      <c r="AO32" s="1" t="s">
        <v>50</v>
      </c>
      <c r="AP32" s="1">
        <v>59.992213021295903</v>
      </c>
      <c r="AQ32" s="1" t="s">
        <v>61</v>
      </c>
      <c r="AR32" s="1"/>
      <c r="AS32" s="1"/>
      <c r="AT32" s="1"/>
    </row>
    <row r="33" spans="1:46" x14ac:dyDescent="0.35">
      <c r="A33" s="1" t="s">
        <v>43</v>
      </c>
      <c r="B33" s="1" t="s">
        <v>53</v>
      </c>
      <c r="C33" s="1" t="s">
        <v>55</v>
      </c>
      <c r="D33" s="1" t="s">
        <v>54</v>
      </c>
      <c r="E33" s="1">
        <v>22</v>
      </c>
      <c r="F33" s="1">
        <v>2</v>
      </c>
      <c r="G33" s="1">
        <v>5</v>
      </c>
      <c r="H33" s="1" t="s">
        <v>54</v>
      </c>
      <c r="I33" s="1">
        <v>1</v>
      </c>
      <c r="J33" s="1">
        <v>0.77699759998358697</v>
      </c>
      <c r="K33" s="1" t="s">
        <v>47</v>
      </c>
      <c r="L33" s="1">
        <v>5</v>
      </c>
      <c r="M33" s="1">
        <v>2</v>
      </c>
      <c r="N33" s="1">
        <v>22</v>
      </c>
      <c r="O33" s="1">
        <v>1</v>
      </c>
      <c r="P33" s="1">
        <v>23.876560100005001</v>
      </c>
      <c r="Q33" s="1"/>
      <c r="R33" s="1"/>
      <c r="S33" s="1"/>
      <c r="T33" s="1"/>
      <c r="U33" s="1"/>
      <c r="V33" s="1">
        <v>23.861467199982101</v>
      </c>
      <c r="W33" s="1">
        <v>23.876560100005001</v>
      </c>
      <c r="X33" s="1">
        <v>24.3601101000094</v>
      </c>
      <c r="Y33" s="1">
        <v>24.3601101000094</v>
      </c>
      <c r="Z33" s="1">
        <v>24.3601101000094</v>
      </c>
      <c r="AA33" s="1">
        <v>25.1435089000151</v>
      </c>
      <c r="AB33" s="1" t="s">
        <v>54</v>
      </c>
      <c r="AC33" s="1">
        <v>1</v>
      </c>
      <c r="AD33" s="1">
        <v>0.77699759998358697</v>
      </c>
      <c r="AE33" s="1" t="s">
        <v>47</v>
      </c>
      <c r="AF33" s="1"/>
      <c r="AG33" s="1"/>
      <c r="AH33" s="1"/>
      <c r="AI33" s="1"/>
      <c r="AJ33" s="1">
        <v>4</v>
      </c>
      <c r="AK33" s="1">
        <v>1</v>
      </c>
      <c r="AL33" s="1" t="s">
        <v>60</v>
      </c>
      <c r="AM33" s="1" t="s">
        <v>49</v>
      </c>
      <c r="AN33" s="1"/>
      <c r="AO33" s="1" t="s">
        <v>50</v>
      </c>
      <c r="AP33" s="1">
        <v>59.992213021295903</v>
      </c>
      <c r="AQ33" s="1" t="s">
        <v>61</v>
      </c>
      <c r="AR33" s="1"/>
      <c r="AS33" s="1"/>
      <c r="AT33" s="1"/>
    </row>
    <row r="34" spans="1:46" x14ac:dyDescent="0.35">
      <c r="A34" s="1" t="s">
        <v>43</v>
      </c>
      <c r="B34" s="1" t="s">
        <v>53</v>
      </c>
      <c r="C34" s="1" t="s">
        <v>55</v>
      </c>
      <c r="D34" s="1" t="s">
        <v>54</v>
      </c>
      <c r="E34" s="1">
        <v>24</v>
      </c>
      <c r="F34" s="1">
        <v>0</v>
      </c>
      <c r="G34" s="1">
        <v>6</v>
      </c>
      <c r="H34" s="1" t="s">
        <v>54</v>
      </c>
      <c r="I34" s="1">
        <v>1</v>
      </c>
      <c r="J34" s="1">
        <v>0.352197600004728</v>
      </c>
      <c r="K34" s="1" t="s">
        <v>47</v>
      </c>
      <c r="L34" s="1">
        <v>6</v>
      </c>
      <c r="M34" s="1">
        <v>0</v>
      </c>
      <c r="N34" s="1">
        <v>24</v>
      </c>
      <c r="O34" s="1">
        <v>1</v>
      </c>
      <c r="P34" s="1">
        <v>26.0264641999965</v>
      </c>
      <c r="Q34" s="1"/>
      <c r="R34" s="1"/>
      <c r="S34" s="1"/>
      <c r="T34" s="1"/>
      <c r="U34" s="1"/>
      <c r="V34" s="1">
        <v>26.0182265000185</v>
      </c>
      <c r="W34" s="1">
        <v>26.0264641999965</v>
      </c>
      <c r="X34" s="1">
        <v>26.526431000034702</v>
      </c>
      <c r="Y34" s="1">
        <v>26.526431000034702</v>
      </c>
      <c r="Z34" s="1">
        <v>26.526431000034702</v>
      </c>
      <c r="AA34" s="1">
        <v>26.893452299991601</v>
      </c>
      <c r="AB34" s="1" t="s">
        <v>54</v>
      </c>
      <c r="AC34" s="1">
        <v>1</v>
      </c>
      <c r="AD34" s="1">
        <v>0.352197600004728</v>
      </c>
      <c r="AE34" s="1" t="s">
        <v>47</v>
      </c>
      <c r="AF34" s="1"/>
      <c r="AG34" s="1"/>
      <c r="AH34" s="1"/>
      <c r="AI34" s="1"/>
      <c r="AJ34" s="1">
        <v>4</v>
      </c>
      <c r="AK34" s="1">
        <v>1</v>
      </c>
      <c r="AL34" s="1" t="s">
        <v>60</v>
      </c>
      <c r="AM34" s="1" t="s">
        <v>49</v>
      </c>
      <c r="AN34" s="1"/>
      <c r="AO34" s="1" t="s">
        <v>50</v>
      </c>
      <c r="AP34" s="1">
        <v>59.992213021295903</v>
      </c>
      <c r="AQ34" s="1" t="s">
        <v>61</v>
      </c>
      <c r="AR34" s="1"/>
      <c r="AS34" s="1"/>
      <c r="AT34" s="1"/>
    </row>
    <row r="35" spans="1:46" x14ac:dyDescent="0.35">
      <c r="A35" s="1" t="s">
        <v>52</v>
      </c>
      <c r="B35" s="1" t="s">
        <v>44</v>
      </c>
      <c r="C35" s="1" t="s">
        <v>55</v>
      </c>
      <c r="D35" s="1" t="s">
        <v>46</v>
      </c>
      <c r="E35" s="1">
        <v>26</v>
      </c>
      <c r="F35" s="1">
        <v>2</v>
      </c>
      <c r="G35" s="1">
        <v>6</v>
      </c>
      <c r="H35" s="1" t="s">
        <v>46</v>
      </c>
      <c r="I35" s="1">
        <v>1</v>
      </c>
      <c r="J35" s="1">
        <v>0.38741039996966697</v>
      </c>
      <c r="K35" s="1" t="s">
        <v>47</v>
      </c>
      <c r="L35" s="1">
        <v>6</v>
      </c>
      <c r="M35" s="1">
        <v>2</v>
      </c>
      <c r="N35" s="1">
        <v>26</v>
      </c>
      <c r="O35" s="1">
        <v>2</v>
      </c>
      <c r="P35" s="1">
        <v>27.7595181000069</v>
      </c>
      <c r="Q35" s="1"/>
      <c r="R35" s="1"/>
      <c r="S35" s="1"/>
      <c r="T35" s="1"/>
      <c r="U35" s="1"/>
      <c r="V35" s="1">
        <v>27.744183700007799</v>
      </c>
      <c r="W35" s="1">
        <v>27.7595181000069</v>
      </c>
      <c r="X35" s="1">
        <v>28.2430088000255</v>
      </c>
      <c r="Y35" s="1">
        <v>28.2430088000255</v>
      </c>
      <c r="Z35" s="1">
        <v>28.2430088000255</v>
      </c>
      <c r="AA35" s="1">
        <v>28.6434971999842</v>
      </c>
      <c r="AB35" s="1" t="s">
        <v>46</v>
      </c>
      <c r="AC35" s="1">
        <v>1</v>
      </c>
      <c r="AD35" s="1">
        <v>0.38741039996966697</v>
      </c>
      <c r="AE35" s="1" t="s">
        <v>47</v>
      </c>
      <c r="AF35" s="1"/>
      <c r="AG35" s="1"/>
      <c r="AH35" s="1"/>
      <c r="AI35" s="1"/>
      <c r="AJ35" s="1">
        <v>4</v>
      </c>
      <c r="AK35" s="1">
        <v>1</v>
      </c>
      <c r="AL35" s="1" t="s">
        <v>60</v>
      </c>
      <c r="AM35" s="1" t="s">
        <v>49</v>
      </c>
      <c r="AN35" s="1"/>
      <c r="AO35" s="1" t="s">
        <v>50</v>
      </c>
      <c r="AP35" s="1">
        <v>59.992213021295903</v>
      </c>
      <c r="AQ35" s="1" t="s">
        <v>61</v>
      </c>
      <c r="AR35" s="1"/>
      <c r="AS35" s="1"/>
      <c r="AT35" s="1"/>
    </row>
    <row r="36" spans="1:46" x14ac:dyDescent="0.35">
      <c r="A36" s="1" t="s">
        <v>52</v>
      </c>
      <c r="B36" s="1" t="s">
        <v>44</v>
      </c>
      <c r="C36" s="1" t="s">
        <v>55</v>
      </c>
      <c r="D36" s="1" t="s">
        <v>46</v>
      </c>
      <c r="E36" s="1">
        <v>28</v>
      </c>
      <c r="F36" s="1">
        <v>0</v>
      </c>
      <c r="G36" s="1">
        <v>7</v>
      </c>
      <c r="H36" s="1" t="s">
        <v>46</v>
      </c>
      <c r="I36" s="1">
        <v>1</v>
      </c>
      <c r="J36" s="1">
        <v>0.34718300000531599</v>
      </c>
      <c r="K36" s="1" t="s">
        <v>47</v>
      </c>
      <c r="L36" s="1">
        <v>7</v>
      </c>
      <c r="M36" s="1">
        <v>0</v>
      </c>
      <c r="N36" s="1">
        <v>28</v>
      </c>
      <c r="O36" s="1">
        <v>2</v>
      </c>
      <c r="P36" s="1">
        <v>29.4928568000323</v>
      </c>
      <c r="Q36" s="1"/>
      <c r="R36" s="1"/>
      <c r="S36" s="1"/>
      <c r="T36" s="1"/>
      <c r="U36" s="1"/>
      <c r="V36" s="1">
        <v>29.479964600002798</v>
      </c>
      <c r="W36" s="1">
        <v>29.4928568000323</v>
      </c>
      <c r="X36" s="1">
        <v>29.976177899981799</v>
      </c>
      <c r="Y36" s="1">
        <v>29.976177899981799</v>
      </c>
      <c r="Z36" s="1">
        <v>29.976177899981799</v>
      </c>
      <c r="AA36" s="1">
        <v>30.3263767000171</v>
      </c>
      <c r="AB36" s="1" t="s">
        <v>46</v>
      </c>
      <c r="AC36" s="1">
        <v>1</v>
      </c>
      <c r="AD36" s="1">
        <v>0.34718300000531599</v>
      </c>
      <c r="AE36" s="1" t="s">
        <v>47</v>
      </c>
      <c r="AF36" s="1"/>
      <c r="AG36" s="1"/>
      <c r="AH36" s="1"/>
      <c r="AI36" s="1"/>
      <c r="AJ36" s="1">
        <v>4</v>
      </c>
      <c r="AK36" s="1">
        <v>1</v>
      </c>
      <c r="AL36" s="1" t="s">
        <v>60</v>
      </c>
      <c r="AM36" s="1" t="s">
        <v>49</v>
      </c>
      <c r="AN36" s="1"/>
      <c r="AO36" s="1" t="s">
        <v>50</v>
      </c>
      <c r="AP36" s="1">
        <v>59.992213021295903</v>
      </c>
      <c r="AQ36" s="1" t="s">
        <v>61</v>
      </c>
      <c r="AR36" s="1"/>
      <c r="AS36" s="1"/>
      <c r="AT36" s="1"/>
    </row>
    <row r="37" spans="1:46" x14ac:dyDescent="0.35">
      <c r="A37" s="1" t="s">
        <v>43</v>
      </c>
      <c r="B37" s="1" t="s">
        <v>53</v>
      </c>
      <c r="C37" s="1" t="s">
        <v>55</v>
      </c>
      <c r="D37" s="1" t="s">
        <v>54</v>
      </c>
      <c r="E37" s="1">
        <v>31</v>
      </c>
      <c r="F37" s="1">
        <v>3</v>
      </c>
      <c r="G37" s="1">
        <v>7</v>
      </c>
      <c r="H37" s="1" t="s">
        <v>54</v>
      </c>
      <c r="I37" s="1">
        <v>1</v>
      </c>
      <c r="J37" s="1">
        <v>0.54774750000797201</v>
      </c>
      <c r="K37" s="1" t="s">
        <v>47</v>
      </c>
      <c r="L37" s="1">
        <v>7</v>
      </c>
      <c r="M37" s="1">
        <v>3</v>
      </c>
      <c r="N37" s="1">
        <v>31</v>
      </c>
      <c r="O37" s="1">
        <v>1</v>
      </c>
      <c r="P37" s="1">
        <v>32.292724900005801</v>
      </c>
      <c r="Q37" s="1"/>
      <c r="R37" s="1"/>
      <c r="S37" s="1"/>
      <c r="T37" s="1"/>
      <c r="U37" s="1"/>
      <c r="V37" s="1">
        <v>32.276746799994697</v>
      </c>
      <c r="W37" s="1">
        <v>32.292724900005801</v>
      </c>
      <c r="X37" s="1">
        <v>32.775936899997703</v>
      </c>
      <c r="Y37" s="1">
        <v>32.775936899997703</v>
      </c>
      <c r="Z37" s="1">
        <v>32.775936899997703</v>
      </c>
      <c r="AA37" s="1">
        <v>33.326260700006898</v>
      </c>
      <c r="AB37" s="1" t="s">
        <v>54</v>
      </c>
      <c r="AC37" s="1">
        <v>1</v>
      </c>
      <c r="AD37" s="1">
        <v>0.54774750000797201</v>
      </c>
      <c r="AE37" s="1" t="s">
        <v>47</v>
      </c>
      <c r="AF37" s="1"/>
      <c r="AG37" s="1"/>
      <c r="AH37" s="1"/>
      <c r="AI37" s="1"/>
      <c r="AJ37" s="1">
        <v>4</v>
      </c>
      <c r="AK37" s="1">
        <v>1</v>
      </c>
      <c r="AL37" s="1" t="s">
        <v>60</v>
      </c>
      <c r="AM37" s="1" t="s">
        <v>49</v>
      </c>
      <c r="AN37" s="1"/>
      <c r="AO37" s="1" t="s">
        <v>50</v>
      </c>
      <c r="AP37" s="1">
        <v>59.992213021295903</v>
      </c>
      <c r="AQ37" s="1" t="s">
        <v>61</v>
      </c>
      <c r="AR37" s="1"/>
      <c r="AS37" s="1"/>
      <c r="AT37" s="1"/>
    </row>
    <row r="38" spans="1:46" x14ac:dyDescent="0.35">
      <c r="A38" s="1" t="s">
        <v>52</v>
      </c>
      <c r="B38" s="1" t="s">
        <v>44</v>
      </c>
      <c r="C38" s="1" t="s">
        <v>55</v>
      </c>
      <c r="D38" s="1" t="s">
        <v>46</v>
      </c>
      <c r="E38" s="1">
        <v>33</v>
      </c>
      <c r="F38" s="1">
        <v>1</v>
      </c>
      <c r="G38" s="1">
        <v>8</v>
      </c>
      <c r="H38" s="1" t="s">
        <v>46</v>
      </c>
      <c r="I38" s="1">
        <v>1</v>
      </c>
      <c r="J38" s="1">
        <v>0.50069540005642899</v>
      </c>
      <c r="K38" s="1" t="s">
        <v>47</v>
      </c>
      <c r="L38" s="1">
        <v>8</v>
      </c>
      <c r="M38" s="1">
        <v>1</v>
      </c>
      <c r="N38" s="1">
        <v>33</v>
      </c>
      <c r="O38" s="1">
        <v>2</v>
      </c>
      <c r="P38" s="1">
        <v>34.425986099988201</v>
      </c>
      <c r="Q38" s="1"/>
      <c r="R38" s="1"/>
      <c r="S38" s="1"/>
      <c r="T38" s="1"/>
      <c r="U38" s="1"/>
      <c r="V38" s="1">
        <v>34.413017200014998</v>
      </c>
      <c r="W38" s="1">
        <v>34.425986099988201</v>
      </c>
      <c r="X38" s="1">
        <v>34.926044400024601</v>
      </c>
      <c r="Y38" s="1">
        <v>34.926044400024601</v>
      </c>
      <c r="Z38" s="1">
        <v>34.926044400024601</v>
      </c>
      <c r="AA38" s="1">
        <v>35.442588999983798</v>
      </c>
      <c r="AB38" s="1" t="s">
        <v>46</v>
      </c>
      <c r="AC38" s="1">
        <v>1</v>
      </c>
      <c r="AD38" s="1">
        <v>0.50069540005642899</v>
      </c>
      <c r="AE38" s="1" t="s">
        <v>47</v>
      </c>
      <c r="AF38" s="1"/>
      <c r="AG38" s="1"/>
      <c r="AH38" s="1"/>
      <c r="AI38" s="1"/>
      <c r="AJ38" s="1">
        <v>4</v>
      </c>
      <c r="AK38" s="1">
        <v>1</v>
      </c>
      <c r="AL38" s="1" t="s">
        <v>60</v>
      </c>
      <c r="AM38" s="1" t="s">
        <v>49</v>
      </c>
      <c r="AN38" s="1"/>
      <c r="AO38" s="1" t="s">
        <v>50</v>
      </c>
      <c r="AP38" s="1">
        <v>59.992213021295903</v>
      </c>
      <c r="AQ38" s="1" t="s">
        <v>61</v>
      </c>
      <c r="AR38" s="1"/>
      <c r="AS38" s="1"/>
      <c r="AT38" s="1"/>
    </row>
    <row r="39" spans="1:46" x14ac:dyDescent="0.35">
      <c r="A39" s="1" t="s">
        <v>43</v>
      </c>
      <c r="B39" s="1" t="s">
        <v>53</v>
      </c>
      <c r="C39" s="1" t="s">
        <v>55</v>
      </c>
      <c r="D39" s="1" t="s">
        <v>54</v>
      </c>
      <c r="E39" s="1">
        <v>34</v>
      </c>
      <c r="F39" s="1">
        <v>2</v>
      </c>
      <c r="G39" s="1">
        <v>8</v>
      </c>
      <c r="H39" s="1" t="s">
        <v>54</v>
      </c>
      <c r="I39" s="1">
        <v>1</v>
      </c>
      <c r="J39" s="1">
        <v>0.61098029999993697</v>
      </c>
      <c r="K39" s="1" t="s">
        <v>47</v>
      </c>
      <c r="L39" s="1">
        <v>8</v>
      </c>
      <c r="M39" s="1">
        <v>2</v>
      </c>
      <c r="N39" s="1">
        <v>34</v>
      </c>
      <c r="O39" s="1">
        <v>1</v>
      </c>
      <c r="P39" s="1">
        <v>35.458901699981602</v>
      </c>
      <c r="Q39" s="1"/>
      <c r="R39" s="1"/>
      <c r="S39" s="1"/>
      <c r="T39" s="1"/>
      <c r="U39" s="1"/>
      <c r="V39" s="1">
        <v>35.444417499995303</v>
      </c>
      <c r="W39" s="1">
        <v>35.458901699981602</v>
      </c>
      <c r="X39" s="1">
        <v>35.942195600015097</v>
      </c>
      <c r="Y39" s="1">
        <v>35.942195600015097</v>
      </c>
      <c r="Z39" s="1">
        <v>35.942195600015097</v>
      </c>
      <c r="AA39" s="1">
        <v>36.559384500025701</v>
      </c>
      <c r="AB39" s="1" t="s">
        <v>54</v>
      </c>
      <c r="AC39" s="1">
        <v>1</v>
      </c>
      <c r="AD39" s="1">
        <v>0.61098029999993697</v>
      </c>
      <c r="AE39" s="1" t="s">
        <v>47</v>
      </c>
      <c r="AF39" s="1"/>
      <c r="AG39" s="1"/>
      <c r="AH39" s="1"/>
      <c r="AI39" s="1"/>
      <c r="AJ39" s="1">
        <v>4</v>
      </c>
      <c r="AK39" s="1">
        <v>1</v>
      </c>
      <c r="AL39" s="1" t="s">
        <v>60</v>
      </c>
      <c r="AM39" s="1" t="s">
        <v>49</v>
      </c>
      <c r="AN39" s="1"/>
      <c r="AO39" s="1" t="s">
        <v>50</v>
      </c>
      <c r="AP39" s="1">
        <v>59.992213021295903</v>
      </c>
      <c r="AQ39" s="1" t="s">
        <v>61</v>
      </c>
      <c r="AR39" s="1"/>
      <c r="AS39" s="1"/>
      <c r="AT39" s="1"/>
    </row>
    <row r="40" spans="1:46" x14ac:dyDescent="0.35">
      <c r="A40" s="1" t="s">
        <v>43</v>
      </c>
      <c r="B40" s="1" t="s">
        <v>53</v>
      </c>
      <c r="C40" s="1" t="s">
        <v>55</v>
      </c>
      <c r="D40" s="1" t="s">
        <v>54</v>
      </c>
      <c r="E40" s="1">
        <v>36</v>
      </c>
      <c r="F40" s="1">
        <v>0</v>
      </c>
      <c r="G40" s="1">
        <v>9</v>
      </c>
      <c r="H40" s="1" t="s">
        <v>54</v>
      </c>
      <c r="I40" s="1">
        <v>1</v>
      </c>
      <c r="J40" s="1">
        <v>0.50826630002120499</v>
      </c>
      <c r="K40" s="1" t="s">
        <v>47</v>
      </c>
      <c r="L40" s="1">
        <v>9</v>
      </c>
      <c r="M40" s="1">
        <v>0</v>
      </c>
      <c r="N40" s="1">
        <v>36</v>
      </c>
      <c r="O40" s="1">
        <v>1</v>
      </c>
      <c r="P40" s="1">
        <v>37.608952199981999</v>
      </c>
      <c r="Q40" s="1"/>
      <c r="R40" s="1"/>
      <c r="S40" s="1"/>
      <c r="T40" s="1"/>
      <c r="U40" s="1"/>
      <c r="V40" s="1">
        <v>37.595092200033797</v>
      </c>
      <c r="W40" s="1">
        <v>37.608952199981999</v>
      </c>
      <c r="X40" s="1">
        <v>38.092215600015997</v>
      </c>
      <c r="Y40" s="1">
        <v>38.092215600015997</v>
      </c>
      <c r="Z40" s="1">
        <v>38.092215600015997</v>
      </c>
      <c r="AA40" s="1">
        <v>38.609621300012797</v>
      </c>
      <c r="AB40" s="1" t="s">
        <v>54</v>
      </c>
      <c r="AC40" s="1">
        <v>1</v>
      </c>
      <c r="AD40" s="1">
        <v>0.50826630002120499</v>
      </c>
      <c r="AE40" s="1" t="s">
        <v>47</v>
      </c>
      <c r="AF40" s="1"/>
      <c r="AG40" s="1"/>
      <c r="AH40" s="1"/>
      <c r="AI40" s="1"/>
      <c r="AJ40" s="1">
        <v>4</v>
      </c>
      <c r="AK40" s="1">
        <v>1</v>
      </c>
      <c r="AL40" s="1" t="s">
        <v>60</v>
      </c>
      <c r="AM40" s="1" t="s">
        <v>49</v>
      </c>
      <c r="AN40" s="1"/>
      <c r="AO40" s="1" t="s">
        <v>50</v>
      </c>
      <c r="AP40" s="1">
        <v>59.992213021295903</v>
      </c>
      <c r="AQ40" s="1" t="s">
        <v>61</v>
      </c>
      <c r="AR40" s="1"/>
      <c r="AS40" s="1"/>
      <c r="AT40" s="1"/>
    </row>
    <row r="41" spans="1:46" x14ac:dyDescent="0.35">
      <c r="A41" s="1" t="s">
        <v>52</v>
      </c>
      <c r="B41" s="1" t="s">
        <v>44</v>
      </c>
      <c r="C41" s="1" t="s">
        <v>55</v>
      </c>
      <c r="D41" s="1" t="s">
        <v>46</v>
      </c>
      <c r="E41" s="1">
        <v>37</v>
      </c>
      <c r="F41" s="1">
        <v>1</v>
      </c>
      <c r="G41" s="1">
        <v>9</v>
      </c>
      <c r="H41" s="1" t="s">
        <v>54</v>
      </c>
      <c r="I41" s="1">
        <v>0</v>
      </c>
      <c r="J41" s="1">
        <v>0.77786640002159402</v>
      </c>
      <c r="K41" s="1" t="s">
        <v>47</v>
      </c>
      <c r="L41" s="1">
        <v>9</v>
      </c>
      <c r="M41" s="1">
        <v>1</v>
      </c>
      <c r="N41" s="1">
        <v>37</v>
      </c>
      <c r="O41" s="1">
        <v>2</v>
      </c>
      <c r="P41" s="1">
        <v>38.625656399992202</v>
      </c>
      <c r="Q41" s="1"/>
      <c r="R41" s="1"/>
      <c r="S41" s="1"/>
      <c r="T41" s="1"/>
      <c r="U41" s="1"/>
      <c r="V41" s="1">
        <v>38.611403400020201</v>
      </c>
      <c r="W41" s="1">
        <v>38.625656399992202</v>
      </c>
      <c r="X41" s="1">
        <v>39.108996500028297</v>
      </c>
      <c r="Y41" s="1">
        <v>39.108996500028297</v>
      </c>
      <c r="Z41" s="1">
        <v>39.108996500028297</v>
      </c>
      <c r="AA41" s="1">
        <v>39.892543499998197</v>
      </c>
      <c r="AB41" s="1" t="s">
        <v>54</v>
      </c>
      <c r="AC41" s="1">
        <v>0</v>
      </c>
      <c r="AD41" s="1">
        <v>0.77786640002159402</v>
      </c>
      <c r="AE41" s="1" t="s">
        <v>47</v>
      </c>
      <c r="AF41" s="1"/>
      <c r="AG41" s="1"/>
      <c r="AH41" s="1"/>
      <c r="AI41" s="1"/>
      <c r="AJ41" s="1">
        <v>4</v>
      </c>
      <c r="AK41" s="1">
        <v>1</v>
      </c>
      <c r="AL41" s="1" t="s">
        <v>60</v>
      </c>
      <c r="AM41" s="1" t="s">
        <v>49</v>
      </c>
      <c r="AN41" s="1"/>
      <c r="AO41" s="1" t="s">
        <v>50</v>
      </c>
      <c r="AP41" s="1">
        <v>59.992213021295903</v>
      </c>
      <c r="AQ41" s="1" t="s">
        <v>61</v>
      </c>
      <c r="AR41" s="1"/>
      <c r="AS41" s="1"/>
      <c r="AT41" s="1"/>
    </row>
    <row r="42" spans="1:46" x14ac:dyDescent="0.35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>
        <v>2.9646999901160498E-3</v>
      </c>
      <c r="S42" s="1">
        <v>9.2278000083751907E-3</v>
      </c>
      <c r="T42" s="1">
        <v>2.0326670000213198</v>
      </c>
      <c r="U42" s="1">
        <v>1.99423670000396</v>
      </c>
      <c r="V42" s="1"/>
      <c r="W42" s="1"/>
      <c r="X42" s="1"/>
      <c r="Y42" s="1"/>
      <c r="Z42" s="1"/>
      <c r="AA42" s="1"/>
      <c r="AB42" s="1"/>
      <c r="AC42" s="1"/>
      <c r="AD42" s="1"/>
      <c r="AE42" s="1"/>
      <c r="AF42" s="1"/>
      <c r="AG42" s="1"/>
      <c r="AH42" s="1"/>
      <c r="AI42" s="1"/>
      <c r="AJ42" s="1">
        <v>4</v>
      </c>
      <c r="AK42" s="1">
        <v>1</v>
      </c>
      <c r="AL42" s="1" t="s">
        <v>60</v>
      </c>
      <c r="AM42" s="1" t="s">
        <v>49</v>
      </c>
      <c r="AN42" s="1"/>
      <c r="AO42" s="1" t="s">
        <v>50</v>
      </c>
      <c r="AP42" s="1">
        <v>59.992213021295903</v>
      </c>
      <c r="AQ42" s="1" t="s">
        <v>61</v>
      </c>
      <c r="AR42" s="1"/>
      <c r="AS42" s="1"/>
      <c r="AT42" s="1"/>
    </row>
    <row r="43" spans="1:46" x14ac:dyDescent="0.35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  <c r="AB43" s="1"/>
      <c r="AC43" s="1"/>
      <c r="AD43" s="1"/>
      <c r="AE43" s="1"/>
      <c r="AF43" s="1">
        <v>41.792564000002997</v>
      </c>
      <c r="AG43" s="1">
        <v>41.808920599985797</v>
      </c>
      <c r="AH43" s="1">
        <v>43.808667899982503</v>
      </c>
      <c r="AI43" s="1">
        <v>43.792343400011298</v>
      </c>
      <c r="AJ43" s="1">
        <v>4</v>
      </c>
      <c r="AK43" s="1">
        <v>1</v>
      </c>
      <c r="AL43" s="1" t="s">
        <v>60</v>
      </c>
      <c r="AM43" s="1" t="s">
        <v>49</v>
      </c>
      <c r="AN43" s="1"/>
      <c r="AO43" s="1" t="s">
        <v>50</v>
      </c>
      <c r="AP43" s="1">
        <v>59.992213021295903</v>
      </c>
      <c r="AQ43" s="1" t="s">
        <v>61</v>
      </c>
      <c r="AR43" s="1"/>
      <c r="AS43" s="1"/>
      <c r="AT43" s="1"/>
    </row>
  </sheetData>
  <sortState xmlns:xlrd2="http://schemas.microsoft.com/office/spreadsheetml/2017/richdata2" ref="A2:AQ43">
    <sortCondition ref="C1:C43"/>
  </sortState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ED69A7-48FA-4047-9746-B3D432E9C5BE}">
  <dimension ref="A1:S53"/>
  <sheetViews>
    <sheetView tabSelected="1" topLeftCell="A43" workbookViewId="0">
      <selection activeCell="B45" sqref="B45:D53"/>
    </sheetView>
  </sheetViews>
  <sheetFormatPr defaultRowHeight="14.5" x14ac:dyDescent="0.35"/>
  <cols>
    <col min="2" max="2" width="15.81640625" customWidth="1"/>
    <col min="3" max="3" width="11.453125" customWidth="1"/>
    <col min="4" max="4" width="11.81640625" customWidth="1"/>
    <col min="6" max="6" width="10.54296875" customWidth="1"/>
    <col min="7" max="7" width="12.81640625" customWidth="1"/>
    <col min="8" max="8" width="10.81640625" customWidth="1"/>
    <col min="9" max="9" width="12.1796875" customWidth="1"/>
    <col min="12" max="12" width="12.7265625" customWidth="1"/>
    <col min="13" max="13" width="11.26953125" customWidth="1"/>
    <col min="14" max="14" width="12.1796875" customWidth="1"/>
    <col min="17" max="17" width="12.7265625" customWidth="1"/>
    <col min="18" max="18" width="11.7265625" customWidth="1"/>
    <col min="19" max="19" width="11.54296875" customWidth="1"/>
  </cols>
  <sheetData>
    <row r="1" spans="1:19" x14ac:dyDescent="0.35">
      <c r="A1" s="2">
        <v>1</v>
      </c>
      <c r="B1" s="1" t="s">
        <v>2</v>
      </c>
      <c r="C1" s="1" t="s">
        <v>9</v>
      </c>
      <c r="D1" s="1" t="s">
        <v>8</v>
      </c>
      <c r="F1" s="2">
        <v>2</v>
      </c>
      <c r="G1" s="1" t="s">
        <v>2</v>
      </c>
      <c r="H1" s="1" t="s">
        <v>9</v>
      </c>
      <c r="I1" s="1" t="s">
        <v>8</v>
      </c>
      <c r="K1" s="2">
        <v>3</v>
      </c>
      <c r="L1" s="1" t="s">
        <v>2</v>
      </c>
      <c r="M1" s="1" t="s">
        <v>9</v>
      </c>
      <c r="N1" s="1" t="s">
        <v>8</v>
      </c>
      <c r="P1" s="2">
        <v>4</v>
      </c>
      <c r="Q1" s="1" t="s">
        <v>2</v>
      </c>
      <c r="R1" s="1" t="s">
        <v>9</v>
      </c>
      <c r="S1" s="1" t="s">
        <v>8</v>
      </c>
    </row>
    <row r="2" spans="1:19" x14ac:dyDescent="0.35">
      <c r="B2" s="1" t="s">
        <v>45</v>
      </c>
      <c r="C2" s="1">
        <v>0.46251949999999997</v>
      </c>
      <c r="D2" s="1">
        <v>1</v>
      </c>
      <c r="G2" s="1" t="s">
        <v>45</v>
      </c>
      <c r="H2" s="1">
        <v>0.4593141</v>
      </c>
      <c r="I2" s="1">
        <v>1</v>
      </c>
      <c r="L2" s="1" t="s">
        <v>45</v>
      </c>
      <c r="M2" s="1">
        <v>0.47307519999999997</v>
      </c>
      <c r="N2" s="1">
        <v>1</v>
      </c>
      <c r="Q2" s="1" t="s">
        <v>45</v>
      </c>
      <c r="R2" s="1">
        <v>0.51068730000406504</v>
      </c>
      <c r="S2" s="1">
        <v>1</v>
      </c>
    </row>
    <row r="3" spans="1:19" x14ac:dyDescent="0.35">
      <c r="B3" s="1" t="s">
        <v>45</v>
      </c>
      <c r="C3" s="1">
        <v>0.4505962</v>
      </c>
      <c r="D3" s="1">
        <v>1</v>
      </c>
      <c r="G3" s="1" t="s">
        <v>45</v>
      </c>
      <c r="H3" s="1">
        <v>0.471441</v>
      </c>
      <c r="I3" s="1">
        <v>1</v>
      </c>
      <c r="L3" s="1" t="s">
        <v>45</v>
      </c>
      <c r="M3" s="1">
        <v>0.49708770000000002</v>
      </c>
      <c r="N3" s="1">
        <v>1</v>
      </c>
      <c r="Q3" s="1" t="s">
        <v>45</v>
      </c>
      <c r="R3" s="1">
        <v>0.48211240000091399</v>
      </c>
      <c r="S3" s="1">
        <v>1</v>
      </c>
    </row>
    <row r="4" spans="1:19" x14ac:dyDescent="0.35">
      <c r="B4" s="1" t="s">
        <v>45</v>
      </c>
      <c r="C4" s="1">
        <v>0.414769</v>
      </c>
      <c r="D4" s="1">
        <v>1</v>
      </c>
      <c r="G4" s="1" t="s">
        <v>45</v>
      </c>
      <c r="H4" s="1">
        <v>0.44731599999999999</v>
      </c>
      <c r="I4" s="1">
        <v>1</v>
      </c>
      <c r="L4" s="1" t="s">
        <v>45</v>
      </c>
      <c r="M4" s="1">
        <v>0.33961229999999998</v>
      </c>
      <c r="N4" s="1">
        <v>1</v>
      </c>
      <c r="Q4" s="1" t="s">
        <v>45</v>
      </c>
      <c r="R4" s="1">
        <v>0.411246700037736</v>
      </c>
      <c r="S4" s="1">
        <v>1</v>
      </c>
    </row>
    <row r="5" spans="1:19" x14ac:dyDescent="0.35">
      <c r="B5" s="1" t="s">
        <v>45</v>
      </c>
      <c r="C5" s="1">
        <v>0.37539620000000001</v>
      </c>
      <c r="D5" s="1">
        <v>1</v>
      </c>
      <c r="G5" s="1" t="s">
        <v>45</v>
      </c>
      <c r="H5" s="1">
        <v>0.4612677</v>
      </c>
      <c r="I5" s="1">
        <v>1</v>
      </c>
      <c r="L5" s="1" t="s">
        <v>45</v>
      </c>
      <c r="M5" s="1">
        <v>0.41209000000000001</v>
      </c>
      <c r="N5" s="1">
        <v>1</v>
      </c>
      <c r="Q5" s="1" t="s">
        <v>45</v>
      </c>
      <c r="R5" s="1">
        <v>0.49422300001606301</v>
      </c>
      <c r="S5" s="1">
        <v>1</v>
      </c>
    </row>
    <row r="6" spans="1:19" x14ac:dyDescent="0.35">
      <c r="B6" s="1" t="s">
        <v>45</v>
      </c>
      <c r="C6" s="1">
        <v>0.45232749999999999</v>
      </c>
      <c r="D6" s="1">
        <v>1</v>
      </c>
      <c r="G6" s="1" t="s">
        <v>45</v>
      </c>
      <c r="H6" s="1">
        <v>0.37071799999999999</v>
      </c>
      <c r="I6" s="1">
        <v>1</v>
      </c>
      <c r="L6" s="1" t="s">
        <v>45</v>
      </c>
      <c r="M6" s="1">
        <v>0.34915479999999999</v>
      </c>
      <c r="N6" s="1">
        <v>1</v>
      </c>
      <c r="Q6" s="1" t="s">
        <v>45</v>
      </c>
      <c r="R6" s="1">
        <v>0.35699379997094999</v>
      </c>
      <c r="S6" s="1">
        <v>1</v>
      </c>
    </row>
    <row r="7" spans="1:19" x14ac:dyDescent="0.35">
      <c r="B7" s="1" t="s">
        <v>45</v>
      </c>
      <c r="C7" s="1">
        <v>0.5134242</v>
      </c>
      <c r="D7" s="1">
        <v>1</v>
      </c>
      <c r="G7" s="1" t="s">
        <v>45</v>
      </c>
      <c r="H7" s="1">
        <v>0.3708457</v>
      </c>
      <c r="I7" s="1">
        <v>1</v>
      </c>
      <c r="L7" s="1" t="s">
        <v>45</v>
      </c>
      <c r="M7" s="1">
        <v>0.43833850000000002</v>
      </c>
      <c r="N7" s="1">
        <v>1</v>
      </c>
      <c r="Q7" s="1" t="s">
        <v>45</v>
      </c>
      <c r="R7" s="1">
        <v>0.45547280000755502</v>
      </c>
      <c r="S7" s="1">
        <v>1</v>
      </c>
    </row>
    <row r="8" spans="1:19" x14ac:dyDescent="0.35">
      <c r="B8" s="1" t="s">
        <v>45</v>
      </c>
      <c r="C8" s="1">
        <v>0.40201409999999999</v>
      </c>
      <c r="D8" s="1">
        <v>1</v>
      </c>
      <c r="G8" s="1" t="s">
        <v>45</v>
      </c>
      <c r="H8" s="1">
        <v>0.58244890000000005</v>
      </c>
      <c r="I8" s="1">
        <v>1</v>
      </c>
      <c r="L8" s="1" t="s">
        <v>45</v>
      </c>
      <c r="M8" s="1">
        <v>0.62631020000000004</v>
      </c>
      <c r="N8" s="1">
        <v>1</v>
      </c>
      <c r="Q8" s="1" t="s">
        <v>45</v>
      </c>
      <c r="R8" s="1">
        <v>0.58997609996003997</v>
      </c>
      <c r="S8" s="1">
        <v>1</v>
      </c>
    </row>
    <row r="9" spans="1:19" x14ac:dyDescent="0.35">
      <c r="B9" s="1" t="s">
        <v>45</v>
      </c>
      <c r="C9" s="1">
        <v>0.55295380000000005</v>
      </c>
      <c r="D9" s="1">
        <v>1</v>
      </c>
      <c r="G9" s="1" t="s">
        <v>45</v>
      </c>
      <c r="H9" s="1">
        <v>0.44193769999999999</v>
      </c>
      <c r="I9" s="1">
        <v>1</v>
      </c>
      <c r="L9" s="1" t="s">
        <v>45</v>
      </c>
      <c r="M9" s="1">
        <v>0.48082000000000003</v>
      </c>
      <c r="N9" s="1">
        <v>1</v>
      </c>
      <c r="Q9" s="1" t="s">
        <v>45</v>
      </c>
      <c r="R9" s="1">
        <v>0.41382690001046202</v>
      </c>
      <c r="S9" s="1">
        <v>1</v>
      </c>
    </row>
    <row r="10" spans="1:19" x14ac:dyDescent="0.35">
      <c r="B10" s="1" t="s">
        <v>45</v>
      </c>
      <c r="C10" s="1">
        <v>0.59064839999999996</v>
      </c>
      <c r="D10" s="1">
        <v>1</v>
      </c>
      <c r="G10" s="1" t="s">
        <v>45</v>
      </c>
      <c r="H10" s="1">
        <v>0.3769845</v>
      </c>
      <c r="I10" s="1">
        <v>1</v>
      </c>
      <c r="L10" s="1" t="s">
        <v>45</v>
      </c>
      <c r="M10" s="1">
        <v>0.69685149999999996</v>
      </c>
      <c r="N10" s="1">
        <v>1</v>
      </c>
      <c r="Q10" s="1" t="s">
        <v>45</v>
      </c>
      <c r="R10" s="1">
        <v>0.36919399996986602</v>
      </c>
      <c r="S10" s="1">
        <v>1</v>
      </c>
    </row>
    <row r="11" spans="1:19" x14ac:dyDescent="0.35">
      <c r="B11" s="1" t="s">
        <v>45</v>
      </c>
      <c r="C11" s="1">
        <v>0.38425330000000002</v>
      </c>
      <c r="D11" s="1">
        <v>1</v>
      </c>
      <c r="G11" s="1" t="s">
        <v>45</v>
      </c>
      <c r="H11" s="1">
        <v>0.45421729999999999</v>
      </c>
      <c r="I11" s="1">
        <v>1</v>
      </c>
      <c r="L11" s="1" t="s">
        <v>45</v>
      </c>
      <c r="M11" s="1">
        <v>0.41427049999999999</v>
      </c>
      <c r="N11" s="1">
        <v>1</v>
      </c>
      <c r="Q11" s="1" t="s">
        <v>45</v>
      </c>
      <c r="R11" s="1">
        <v>0.42573970003286299</v>
      </c>
      <c r="S11" s="1">
        <v>1</v>
      </c>
    </row>
    <row r="12" spans="1:19" x14ac:dyDescent="0.35">
      <c r="B12" s="1" t="s">
        <v>45</v>
      </c>
      <c r="C12" s="1">
        <v>0.43807950000000001</v>
      </c>
      <c r="D12" s="1">
        <v>1</v>
      </c>
      <c r="G12" s="1" t="s">
        <v>45</v>
      </c>
      <c r="H12" s="1">
        <v>0.52580199999999999</v>
      </c>
      <c r="I12" s="1">
        <v>1</v>
      </c>
      <c r="L12" s="1" t="s">
        <v>45</v>
      </c>
      <c r="M12" s="1">
        <v>0.3680195</v>
      </c>
      <c r="N12" s="1">
        <v>1</v>
      </c>
      <c r="Q12" s="1" t="s">
        <v>45</v>
      </c>
      <c r="R12" s="1">
        <v>0.37525069998810001</v>
      </c>
      <c r="S12" s="1">
        <v>1</v>
      </c>
    </row>
    <row r="13" spans="1:19" x14ac:dyDescent="0.35">
      <c r="B13" s="1" t="s">
        <v>45</v>
      </c>
      <c r="C13" s="1">
        <v>0.53184050000000005</v>
      </c>
      <c r="D13" s="1">
        <v>1</v>
      </c>
      <c r="G13" s="1" t="s">
        <v>45</v>
      </c>
      <c r="H13" s="1">
        <v>0.50107780000000002</v>
      </c>
      <c r="I13" s="1">
        <v>1</v>
      </c>
      <c r="L13" s="1" t="s">
        <v>45</v>
      </c>
      <c r="M13" s="1">
        <v>0.57135080000000005</v>
      </c>
      <c r="N13" s="1">
        <v>1</v>
      </c>
      <c r="Q13" s="1" t="s">
        <v>45</v>
      </c>
      <c r="R13" s="1">
        <v>0.35668169998098098</v>
      </c>
      <c r="S13" s="1">
        <v>1</v>
      </c>
    </row>
    <row r="14" spans="1:19" x14ac:dyDescent="0.35">
      <c r="B14" s="1" t="s">
        <v>45</v>
      </c>
      <c r="C14" s="1">
        <v>0.62057910000000005</v>
      </c>
      <c r="D14" s="1">
        <v>1</v>
      </c>
      <c r="G14" s="1" t="s">
        <v>45</v>
      </c>
      <c r="H14" s="1">
        <v>0.65899189999999996</v>
      </c>
      <c r="I14" s="1">
        <v>1</v>
      </c>
      <c r="L14" s="1" t="s">
        <v>45</v>
      </c>
      <c r="M14" s="1">
        <v>0.64923909999999996</v>
      </c>
      <c r="N14" s="1">
        <v>1</v>
      </c>
      <c r="Q14" s="1" t="s">
        <v>45</v>
      </c>
      <c r="R14" s="1">
        <v>0.33289069996680998</v>
      </c>
      <c r="S14" s="1">
        <v>1</v>
      </c>
    </row>
    <row r="15" spans="1:19" x14ac:dyDescent="0.35">
      <c r="B15" s="1" t="s">
        <v>45</v>
      </c>
      <c r="C15" s="1">
        <v>0.49370779999999997</v>
      </c>
      <c r="D15" s="1">
        <v>1</v>
      </c>
      <c r="G15" s="1" t="s">
        <v>45</v>
      </c>
      <c r="H15" s="1">
        <v>0.54448419999999997</v>
      </c>
      <c r="I15" s="1">
        <v>1</v>
      </c>
      <c r="L15" s="1" t="s">
        <v>45</v>
      </c>
      <c r="M15" s="1">
        <v>0.52091160000000003</v>
      </c>
      <c r="N15" s="1">
        <v>1</v>
      </c>
      <c r="Q15" s="1" t="s">
        <v>45</v>
      </c>
      <c r="R15" s="1">
        <v>0.33229879999998901</v>
      </c>
      <c r="S15" s="1">
        <v>1</v>
      </c>
    </row>
    <row r="16" spans="1:19" x14ac:dyDescent="0.35">
      <c r="B16" s="1" t="s">
        <v>45</v>
      </c>
      <c r="C16" s="1">
        <v>0.58147059999999995</v>
      </c>
      <c r="D16" s="1">
        <v>1</v>
      </c>
      <c r="G16" s="1" t="s">
        <v>45</v>
      </c>
      <c r="H16" s="1">
        <v>0.41897380000000001</v>
      </c>
      <c r="I16" s="1">
        <v>1</v>
      </c>
      <c r="L16" s="1" t="s">
        <v>45</v>
      </c>
      <c r="M16" s="1">
        <v>0.58740369999999997</v>
      </c>
      <c r="N16" s="1">
        <v>1</v>
      </c>
      <c r="Q16" s="1" t="s">
        <v>45</v>
      </c>
      <c r="R16" s="1">
        <v>0.38484070001868498</v>
      </c>
      <c r="S16" s="1">
        <v>1</v>
      </c>
    </row>
    <row r="17" spans="2:19" x14ac:dyDescent="0.35">
      <c r="B17" s="1" t="s">
        <v>45</v>
      </c>
      <c r="C17" s="1">
        <v>0.84233159999999996</v>
      </c>
      <c r="D17" s="1">
        <v>1</v>
      </c>
      <c r="G17" s="1" t="s">
        <v>45</v>
      </c>
      <c r="H17" s="1">
        <v>0.4487698</v>
      </c>
      <c r="I17" s="1">
        <v>1</v>
      </c>
      <c r="L17" s="1" t="s">
        <v>45</v>
      </c>
      <c r="M17" s="1">
        <v>0.59992730000000005</v>
      </c>
      <c r="N17" s="1">
        <v>1</v>
      </c>
      <c r="Q17" s="1" t="s">
        <v>45</v>
      </c>
      <c r="R17" s="1">
        <v>0.53435909998370301</v>
      </c>
      <c r="S17" s="1">
        <v>1</v>
      </c>
    </row>
    <row r="18" spans="2:19" x14ac:dyDescent="0.35">
      <c r="B18" s="1" t="s">
        <v>45</v>
      </c>
      <c r="C18" s="1">
        <v>0.32799299999999998</v>
      </c>
      <c r="D18" s="1">
        <v>1</v>
      </c>
      <c r="G18" s="1" t="s">
        <v>45</v>
      </c>
      <c r="H18" s="1">
        <v>0.33396100000000001</v>
      </c>
      <c r="I18" s="1">
        <v>1</v>
      </c>
      <c r="L18" s="1" t="s">
        <v>45</v>
      </c>
      <c r="M18" s="1">
        <v>0.4854195</v>
      </c>
      <c r="N18" s="1">
        <v>1</v>
      </c>
      <c r="Q18" s="1" t="s">
        <v>45</v>
      </c>
      <c r="R18" s="1">
        <v>0.57659890002105296</v>
      </c>
      <c r="S18" s="1">
        <v>1</v>
      </c>
    </row>
    <row r="19" spans="2:19" x14ac:dyDescent="0.35">
      <c r="B19" s="1" t="s">
        <v>45</v>
      </c>
      <c r="C19" s="1">
        <v>0.4783732</v>
      </c>
      <c r="D19" s="1">
        <v>1</v>
      </c>
      <c r="G19" s="1" t="s">
        <v>45</v>
      </c>
      <c r="H19" s="1">
        <v>0.35243069999999999</v>
      </c>
      <c r="I19" s="1">
        <v>1</v>
      </c>
      <c r="L19" s="1" t="s">
        <v>45</v>
      </c>
      <c r="M19" s="1">
        <v>0.41280529999999999</v>
      </c>
      <c r="N19" s="1">
        <v>1</v>
      </c>
      <c r="Q19" s="1" t="s">
        <v>45</v>
      </c>
      <c r="R19" s="1">
        <v>0.52035340003203601</v>
      </c>
      <c r="S19" s="1">
        <v>1</v>
      </c>
    </row>
    <row r="20" spans="2:19" x14ac:dyDescent="0.35">
      <c r="B20" s="1" t="s">
        <v>45</v>
      </c>
      <c r="C20" s="1">
        <v>0.81040109999999999</v>
      </c>
      <c r="D20" s="1">
        <v>1</v>
      </c>
      <c r="G20" s="1" t="s">
        <v>45</v>
      </c>
      <c r="H20" s="1">
        <v>0.33703620000000001</v>
      </c>
      <c r="I20" s="1">
        <v>1</v>
      </c>
      <c r="L20" s="1" t="s">
        <v>45</v>
      </c>
      <c r="M20" s="1">
        <v>0.59917889999999996</v>
      </c>
      <c r="N20" s="1">
        <v>1</v>
      </c>
      <c r="Q20" s="1" t="s">
        <v>45</v>
      </c>
      <c r="R20" s="1">
        <v>0.48860709997825302</v>
      </c>
      <c r="S20" s="1">
        <v>1</v>
      </c>
    </row>
    <row r="21" spans="2:19" x14ac:dyDescent="0.35">
      <c r="B21" s="1" t="s">
        <v>45</v>
      </c>
      <c r="C21" s="1">
        <v>0.4574242</v>
      </c>
      <c r="D21" s="1">
        <v>1</v>
      </c>
      <c r="G21" s="1" t="s">
        <v>45</v>
      </c>
      <c r="H21" s="1">
        <v>0.54122999999999999</v>
      </c>
      <c r="I21" s="1">
        <v>1</v>
      </c>
      <c r="L21" s="1" t="s">
        <v>45</v>
      </c>
      <c r="M21" s="1">
        <v>0.57127899999999998</v>
      </c>
      <c r="N21" s="1">
        <v>1</v>
      </c>
      <c r="Q21" s="1" t="s">
        <v>45</v>
      </c>
      <c r="R21" s="1">
        <v>0.39475809998111799</v>
      </c>
      <c r="S21" s="1">
        <v>1</v>
      </c>
    </row>
    <row r="23" spans="2:19" x14ac:dyDescent="0.35">
      <c r="B23" s="1" t="s">
        <v>55</v>
      </c>
      <c r="C23" s="1">
        <v>0.80340610000000001</v>
      </c>
      <c r="D23" s="1">
        <v>1</v>
      </c>
      <c r="G23" s="1" t="s">
        <v>55</v>
      </c>
      <c r="H23" s="1">
        <v>0.78901849999999996</v>
      </c>
      <c r="I23" s="1">
        <v>1</v>
      </c>
      <c r="L23" s="1" t="s">
        <v>55</v>
      </c>
      <c r="M23" s="1">
        <v>0.76464540000000003</v>
      </c>
      <c r="N23" s="1">
        <v>1</v>
      </c>
      <c r="Q23" s="1" t="s">
        <v>55</v>
      </c>
      <c r="R23" s="1">
        <v>0.40057820000220001</v>
      </c>
      <c r="S23" s="1">
        <v>1</v>
      </c>
    </row>
    <row r="24" spans="2:19" x14ac:dyDescent="0.35">
      <c r="B24" s="1" t="s">
        <v>55</v>
      </c>
      <c r="C24" s="1">
        <v>0.64338850000000003</v>
      </c>
      <c r="D24" s="1">
        <v>1</v>
      </c>
      <c r="G24" s="1" t="s">
        <v>55</v>
      </c>
      <c r="H24" s="1">
        <v>0.52502380000000004</v>
      </c>
      <c r="I24" s="1">
        <v>1</v>
      </c>
      <c r="L24" s="1" t="s">
        <v>55</v>
      </c>
      <c r="M24" s="1">
        <v>0.38003429999999999</v>
      </c>
      <c r="N24" s="1">
        <v>1</v>
      </c>
      <c r="Q24" s="1" t="s">
        <v>55</v>
      </c>
      <c r="R24" s="1">
        <v>0.43523809994803703</v>
      </c>
      <c r="S24" s="1">
        <v>1</v>
      </c>
    </row>
    <row r="25" spans="2:19" x14ac:dyDescent="0.35">
      <c r="B25" s="1" t="s">
        <v>55</v>
      </c>
      <c r="C25" s="1">
        <v>0.39483210000000002</v>
      </c>
      <c r="D25" s="1">
        <v>1</v>
      </c>
      <c r="G25" s="1" t="s">
        <v>55</v>
      </c>
      <c r="H25" s="1">
        <v>0.46002749999999998</v>
      </c>
      <c r="I25" s="1">
        <v>1</v>
      </c>
      <c r="L25" s="1" t="s">
        <v>55</v>
      </c>
      <c r="M25" s="1">
        <v>0.3811389</v>
      </c>
      <c r="N25" s="1">
        <v>1</v>
      </c>
      <c r="Q25" s="1" t="s">
        <v>55</v>
      </c>
      <c r="R25" s="1">
        <v>0.56304710003314495</v>
      </c>
      <c r="S25" s="1">
        <v>1</v>
      </c>
    </row>
    <row r="26" spans="2:19" x14ac:dyDescent="0.35">
      <c r="B26" s="1" t="s">
        <v>55</v>
      </c>
      <c r="C26" s="1">
        <v>0.51697309999999996</v>
      </c>
      <c r="D26" s="1">
        <v>1</v>
      </c>
      <c r="G26" s="1" t="s">
        <v>55</v>
      </c>
      <c r="H26" s="1">
        <v>0.44452039999999998</v>
      </c>
      <c r="I26" s="1">
        <v>1</v>
      </c>
      <c r="L26" s="1" t="s">
        <v>55</v>
      </c>
      <c r="M26" s="1">
        <v>0.56307030000000002</v>
      </c>
      <c r="N26" s="1">
        <v>1</v>
      </c>
      <c r="Q26" s="1" t="s">
        <v>55</v>
      </c>
      <c r="R26" s="1">
        <v>0.46897020004689599</v>
      </c>
      <c r="S26" s="1">
        <v>1</v>
      </c>
    </row>
    <row r="27" spans="2:19" x14ac:dyDescent="0.35">
      <c r="B27" s="1" t="s">
        <v>55</v>
      </c>
      <c r="C27" s="1">
        <v>0.59865020000000002</v>
      </c>
      <c r="D27" s="1">
        <v>1</v>
      </c>
      <c r="G27" s="1" t="s">
        <v>55</v>
      </c>
      <c r="H27" s="1">
        <v>0.32608619999999999</v>
      </c>
      <c r="I27" s="1">
        <v>1</v>
      </c>
      <c r="L27" s="1" t="s">
        <v>55</v>
      </c>
      <c r="M27" s="1">
        <v>0.43983539999999999</v>
      </c>
      <c r="N27" s="1">
        <v>1</v>
      </c>
      <c r="Q27" s="1" t="s">
        <v>55</v>
      </c>
      <c r="R27" s="1">
        <v>0.41601009998703298</v>
      </c>
      <c r="S27" s="1">
        <v>1</v>
      </c>
    </row>
    <row r="28" spans="2:19" x14ac:dyDescent="0.35">
      <c r="B28" s="1" t="s">
        <v>55</v>
      </c>
      <c r="C28" s="1">
        <v>0.35883670000000001</v>
      </c>
      <c r="D28" s="1">
        <v>1</v>
      </c>
      <c r="G28" s="1" t="s">
        <v>55</v>
      </c>
      <c r="H28" s="1">
        <v>0.57199719999999998</v>
      </c>
      <c r="I28" s="1">
        <v>1</v>
      </c>
      <c r="L28" s="1" t="s">
        <v>55</v>
      </c>
      <c r="M28" s="1">
        <v>0.48548629999999998</v>
      </c>
      <c r="N28" s="1">
        <v>1</v>
      </c>
      <c r="Q28" s="1" t="s">
        <v>55</v>
      </c>
      <c r="R28" s="1">
        <v>0.45059059996856299</v>
      </c>
      <c r="S28" s="1">
        <v>1</v>
      </c>
    </row>
    <row r="29" spans="2:19" x14ac:dyDescent="0.35">
      <c r="B29" s="1" t="s">
        <v>55</v>
      </c>
      <c r="C29" s="1">
        <v>0.56821999999999995</v>
      </c>
      <c r="D29" s="1">
        <v>0</v>
      </c>
      <c r="G29" s="1" t="s">
        <v>55</v>
      </c>
      <c r="H29" s="1">
        <v>0.4697423</v>
      </c>
      <c r="I29" s="1">
        <v>1</v>
      </c>
      <c r="L29" s="1" t="s">
        <v>55</v>
      </c>
      <c r="M29" s="1">
        <v>0.60917949999999998</v>
      </c>
      <c r="N29" s="1">
        <v>1</v>
      </c>
      <c r="Q29" s="1" t="s">
        <v>55</v>
      </c>
      <c r="R29" s="1">
        <v>0.407369399967137</v>
      </c>
      <c r="S29" s="1">
        <v>1</v>
      </c>
    </row>
    <row r="30" spans="2:19" x14ac:dyDescent="0.35">
      <c r="B30" s="1" t="s">
        <v>55</v>
      </c>
      <c r="C30" s="1">
        <v>0.6059447</v>
      </c>
      <c r="D30" s="1">
        <v>1</v>
      </c>
      <c r="G30" s="1" t="s">
        <v>55</v>
      </c>
      <c r="H30" s="1">
        <v>0.57923720000000001</v>
      </c>
      <c r="I30" s="1">
        <v>1</v>
      </c>
      <c r="L30" s="1" t="s">
        <v>55</v>
      </c>
      <c r="M30" s="1">
        <v>0.47173039999999999</v>
      </c>
      <c r="N30" s="1">
        <v>1</v>
      </c>
      <c r="Q30" s="1" t="s">
        <v>55</v>
      </c>
      <c r="R30" s="1">
        <v>0.65557810000609595</v>
      </c>
      <c r="S30" s="1">
        <v>1</v>
      </c>
    </row>
    <row r="31" spans="2:19" x14ac:dyDescent="0.35">
      <c r="B31" s="1" t="s">
        <v>55</v>
      </c>
      <c r="C31" s="1">
        <v>0.79844559999999998</v>
      </c>
      <c r="D31" s="1">
        <v>1</v>
      </c>
      <c r="G31" s="1" t="s">
        <v>55</v>
      </c>
      <c r="H31" s="1">
        <v>0.39468259999999999</v>
      </c>
      <c r="I31" s="1">
        <v>1</v>
      </c>
      <c r="L31" s="1" t="s">
        <v>55</v>
      </c>
      <c r="M31" s="1">
        <v>0.40666999999999998</v>
      </c>
      <c r="N31" s="1">
        <v>0</v>
      </c>
      <c r="Q31" s="1" t="s">
        <v>55</v>
      </c>
      <c r="R31" s="1">
        <v>0.67391880002105597</v>
      </c>
      <c r="S31" s="1">
        <v>1</v>
      </c>
    </row>
    <row r="32" spans="2:19" x14ac:dyDescent="0.35">
      <c r="B32" s="1" t="s">
        <v>55</v>
      </c>
      <c r="C32" s="1">
        <v>0.66802819999999996</v>
      </c>
      <c r="D32" s="1">
        <v>1</v>
      </c>
      <c r="G32" s="1" t="s">
        <v>55</v>
      </c>
      <c r="H32" s="1">
        <v>0.4204387</v>
      </c>
      <c r="I32" s="1">
        <v>1</v>
      </c>
      <c r="L32" s="1" t="s">
        <v>55</v>
      </c>
      <c r="M32" s="1">
        <v>0.50481849999999995</v>
      </c>
      <c r="N32" s="1">
        <v>1</v>
      </c>
      <c r="Q32" s="1" t="s">
        <v>55</v>
      </c>
      <c r="R32" s="1">
        <v>0.68295789998956002</v>
      </c>
      <c r="S32" s="1">
        <v>1</v>
      </c>
    </row>
    <row r="33" spans="2:19" x14ac:dyDescent="0.35">
      <c r="B33" s="1" t="s">
        <v>55</v>
      </c>
      <c r="C33" s="1">
        <v>0.5369353</v>
      </c>
      <c r="D33" s="1">
        <v>1</v>
      </c>
      <c r="G33" s="1" t="s">
        <v>55</v>
      </c>
      <c r="H33" s="1">
        <v>0.42129820000000001</v>
      </c>
      <c r="I33" s="1">
        <v>1</v>
      </c>
      <c r="L33" s="1" t="s">
        <v>55</v>
      </c>
      <c r="M33" s="1">
        <v>0.78200769999999997</v>
      </c>
      <c r="N33" s="1">
        <v>1</v>
      </c>
      <c r="Q33" s="1" t="s">
        <v>55</v>
      </c>
      <c r="R33" s="1">
        <v>0.50833300000522197</v>
      </c>
      <c r="S33" s="1">
        <v>1</v>
      </c>
    </row>
    <row r="34" spans="2:19" x14ac:dyDescent="0.35">
      <c r="B34" s="1" t="s">
        <v>55</v>
      </c>
      <c r="C34" s="1">
        <v>0.50198640000000005</v>
      </c>
      <c r="D34" s="1">
        <v>1</v>
      </c>
      <c r="G34" s="1" t="s">
        <v>55</v>
      </c>
      <c r="H34" s="1">
        <v>0.5664226</v>
      </c>
      <c r="I34" s="1">
        <v>1</v>
      </c>
      <c r="L34" s="1" t="s">
        <v>55</v>
      </c>
      <c r="M34" s="1">
        <v>0.6662669</v>
      </c>
      <c r="N34" s="1">
        <v>1</v>
      </c>
      <c r="Q34" s="1" t="s">
        <v>55</v>
      </c>
      <c r="R34" s="1">
        <v>0.77699759998358697</v>
      </c>
      <c r="S34" s="1">
        <v>1</v>
      </c>
    </row>
    <row r="35" spans="2:19" x14ac:dyDescent="0.35">
      <c r="B35" s="1" t="s">
        <v>55</v>
      </c>
      <c r="C35" s="1">
        <v>0.54990830000000002</v>
      </c>
      <c r="D35" s="1">
        <v>1</v>
      </c>
      <c r="G35" s="1" t="s">
        <v>55</v>
      </c>
      <c r="H35" s="1">
        <v>0.38274580000000002</v>
      </c>
      <c r="I35" s="1">
        <v>1</v>
      </c>
      <c r="L35" s="1" t="s">
        <v>55</v>
      </c>
      <c r="M35" s="1">
        <v>0.50650030000000001</v>
      </c>
      <c r="N35" s="1">
        <v>1</v>
      </c>
      <c r="Q35" s="1" t="s">
        <v>55</v>
      </c>
      <c r="R35" s="1">
        <v>0.352197600004728</v>
      </c>
      <c r="S35" s="1">
        <v>1</v>
      </c>
    </row>
    <row r="36" spans="2:19" x14ac:dyDescent="0.35">
      <c r="B36" s="1" t="s">
        <v>55</v>
      </c>
      <c r="C36" s="1">
        <v>1.3286669</v>
      </c>
      <c r="D36" s="1">
        <v>1</v>
      </c>
      <c r="G36" s="1" t="s">
        <v>55</v>
      </c>
      <c r="H36" s="1">
        <v>0.64847189999999999</v>
      </c>
      <c r="I36" s="1">
        <v>1</v>
      </c>
      <c r="L36" s="1" t="s">
        <v>55</v>
      </c>
      <c r="M36" s="1">
        <v>0.61929199999999995</v>
      </c>
      <c r="N36" s="1">
        <v>1</v>
      </c>
      <c r="Q36" s="1" t="s">
        <v>55</v>
      </c>
      <c r="R36" s="1">
        <v>0.38741039996966697</v>
      </c>
      <c r="S36" s="1">
        <v>1</v>
      </c>
    </row>
    <row r="37" spans="2:19" x14ac:dyDescent="0.35">
      <c r="B37" s="1" t="s">
        <v>55</v>
      </c>
      <c r="C37" s="1">
        <v>0.49882510000000002</v>
      </c>
      <c r="D37" s="1">
        <v>1</v>
      </c>
      <c r="G37" s="1" t="s">
        <v>55</v>
      </c>
      <c r="H37" s="1">
        <v>0.61358020000000002</v>
      </c>
      <c r="I37" s="1">
        <v>1</v>
      </c>
      <c r="L37" s="1" t="s">
        <v>55</v>
      </c>
      <c r="M37" s="1">
        <v>0.59650289999999995</v>
      </c>
      <c r="N37" s="1">
        <v>1</v>
      </c>
      <c r="Q37" s="1" t="s">
        <v>55</v>
      </c>
      <c r="R37" s="1">
        <v>0.34718300000531599</v>
      </c>
      <c r="S37" s="1">
        <v>1</v>
      </c>
    </row>
    <row r="38" spans="2:19" x14ac:dyDescent="0.35">
      <c r="B38" s="1" t="s">
        <v>55</v>
      </c>
      <c r="C38" s="1">
        <v>0.71948239999999997</v>
      </c>
      <c r="D38" s="1">
        <v>1</v>
      </c>
      <c r="G38" s="1" t="s">
        <v>55</v>
      </c>
      <c r="H38" s="1">
        <v>0.59319480000000002</v>
      </c>
      <c r="I38" s="1">
        <v>1</v>
      </c>
      <c r="L38" s="1" t="s">
        <v>55</v>
      </c>
      <c r="M38" s="1">
        <v>0.4955869</v>
      </c>
      <c r="N38" s="1">
        <v>1</v>
      </c>
      <c r="Q38" s="1" t="s">
        <v>55</v>
      </c>
      <c r="R38" s="1">
        <v>0.54774750000797201</v>
      </c>
      <c r="S38" s="1">
        <v>1</v>
      </c>
    </row>
    <row r="39" spans="2:19" x14ac:dyDescent="0.35">
      <c r="B39" s="1" t="s">
        <v>55</v>
      </c>
      <c r="C39" s="1">
        <v>0.60111060000000005</v>
      </c>
      <c r="D39" s="1">
        <v>1</v>
      </c>
      <c r="G39" s="1" t="s">
        <v>55</v>
      </c>
      <c r="H39" s="1">
        <v>0.37325910000000001</v>
      </c>
      <c r="I39" s="1">
        <v>1</v>
      </c>
      <c r="L39" s="1" t="s">
        <v>55</v>
      </c>
      <c r="M39" s="1">
        <v>0.61742609999999998</v>
      </c>
      <c r="N39" s="1">
        <v>1</v>
      </c>
      <c r="Q39" s="1" t="s">
        <v>55</v>
      </c>
      <c r="R39" s="1">
        <v>0.50069540005642899</v>
      </c>
      <c r="S39" s="1">
        <v>1</v>
      </c>
    </row>
    <row r="40" spans="2:19" x14ac:dyDescent="0.35">
      <c r="B40" s="1" t="s">
        <v>55</v>
      </c>
      <c r="C40" s="1">
        <v>0.51354049999999996</v>
      </c>
      <c r="D40" s="1">
        <v>1</v>
      </c>
      <c r="G40" s="1" t="s">
        <v>55</v>
      </c>
      <c r="H40" s="1">
        <v>0.49760959999999999</v>
      </c>
      <c r="I40" s="1">
        <v>1</v>
      </c>
      <c r="L40" s="1" t="s">
        <v>55</v>
      </c>
      <c r="M40" s="1">
        <v>0.56008449999999999</v>
      </c>
      <c r="N40" s="1">
        <v>1</v>
      </c>
      <c r="Q40" s="1" t="s">
        <v>55</v>
      </c>
      <c r="R40" s="1">
        <v>0.61098029999993697</v>
      </c>
      <c r="S40" s="1">
        <v>1</v>
      </c>
    </row>
    <row r="41" spans="2:19" x14ac:dyDescent="0.35">
      <c r="B41" s="1" t="s">
        <v>55</v>
      </c>
      <c r="C41" s="1">
        <v>0.65384710000000001</v>
      </c>
      <c r="D41" s="1">
        <v>1</v>
      </c>
      <c r="G41" s="1" t="s">
        <v>55</v>
      </c>
      <c r="H41" s="1">
        <v>0.65496129999999997</v>
      </c>
      <c r="I41" s="1">
        <v>1</v>
      </c>
      <c r="L41" s="1" t="s">
        <v>55</v>
      </c>
      <c r="M41" s="1">
        <v>1.0709183</v>
      </c>
      <c r="N41" s="1">
        <v>1</v>
      </c>
      <c r="Q41" s="1" t="s">
        <v>55</v>
      </c>
      <c r="R41" s="1">
        <v>0.50826630002120499</v>
      </c>
      <c r="S41" s="1">
        <v>1</v>
      </c>
    </row>
    <row r="42" spans="2:19" x14ac:dyDescent="0.35">
      <c r="B42" s="1" t="s">
        <v>55</v>
      </c>
      <c r="C42" s="1">
        <v>0.52554100000000004</v>
      </c>
      <c r="D42" s="1">
        <v>1</v>
      </c>
      <c r="G42" s="1" t="s">
        <v>55</v>
      </c>
      <c r="H42" s="1">
        <v>0.39505669999999998</v>
      </c>
      <c r="I42" s="1">
        <v>1</v>
      </c>
      <c r="L42" s="1" t="s">
        <v>55</v>
      </c>
      <c r="M42" s="1">
        <v>0.60744900000000002</v>
      </c>
      <c r="N42" s="1">
        <v>1</v>
      </c>
      <c r="Q42" s="1" t="s">
        <v>55</v>
      </c>
      <c r="R42" s="1">
        <v>0.77786640002159402</v>
      </c>
      <c r="S42" s="1">
        <v>0</v>
      </c>
    </row>
    <row r="45" spans="2:19" x14ac:dyDescent="0.35">
      <c r="B45" s="3" t="s">
        <v>62</v>
      </c>
      <c r="C45" s="1" t="s">
        <v>63</v>
      </c>
      <c r="D45" s="1" t="s">
        <v>64</v>
      </c>
      <c r="F45" s="3" t="s">
        <v>63</v>
      </c>
      <c r="G45" s="3" t="s">
        <v>64</v>
      </c>
    </row>
    <row r="46" spans="2:19" x14ac:dyDescent="0.35">
      <c r="B46" s="3">
        <v>1</v>
      </c>
      <c r="C46" s="1">
        <f>AVERAGE(C2:C21)</f>
        <v>0.50905513999999996</v>
      </c>
      <c r="D46" s="1">
        <f>AVERAGE(C23:C42)</f>
        <v>0.61932844000000009</v>
      </c>
      <c r="F46" s="3">
        <f>C51</f>
        <v>0.47724510499951561</v>
      </c>
      <c r="G46" s="3">
        <f>D51</f>
        <v>0.55643153750056729</v>
      </c>
    </row>
    <row r="47" spans="2:19" x14ac:dyDescent="0.35">
      <c r="B47" s="3">
        <v>2</v>
      </c>
      <c r="C47" s="1">
        <f>AVERAGE(H2:H21)</f>
        <v>0.45496241500000006</v>
      </c>
      <c r="D47" s="1">
        <f>AVERAGE(H23:H42)</f>
        <v>0.50636873000000004</v>
      </c>
    </row>
    <row r="48" spans="2:19" x14ac:dyDescent="0.35">
      <c r="B48" s="3">
        <v>3</v>
      </c>
      <c r="C48" s="1">
        <f>AVERAGE(M2:M21)</f>
        <v>0.50465727000000016</v>
      </c>
      <c r="D48" s="1">
        <f>AVERAGE(M23:M42)</f>
        <v>0.57643218000000007</v>
      </c>
    </row>
    <row r="49" spans="2:4" x14ac:dyDescent="0.35">
      <c r="B49" s="3">
        <v>4</v>
      </c>
      <c r="C49" s="1">
        <f>AVERAGE(R2:R21)</f>
        <v>0.44030559499806204</v>
      </c>
      <c r="D49" s="1">
        <f>AVERAGE(R23:R42)</f>
        <v>0.52359680000226905</v>
      </c>
    </row>
    <row r="50" spans="2:4" x14ac:dyDescent="0.35">
      <c r="B50" s="1"/>
      <c r="C50" s="1"/>
      <c r="D50" s="1"/>
    </row>
    <row r="51" spans="2:4" x14ac:dyDescent="0.35">
      <c r="B51" s="3" t="s">
        <v>65</v>
      </c>
      <c r="C51" s="1">
        <f>AVERAGE(C46:C49)</f>
        <v>0.47724510499951561</v>
      </c>
      <c r="D51" s="1">
        <f>AVERAGE(D46:D49)</f>
        <v>0.55643153750056729</v>
      </c>
    </row>
    <row r="52" spans="2:4" x14ac:dyDescent="0.35">
      <c r="B52" s="3" t="s">
        <v>66</v>
      </c>
      <c r="C52" s="1">
        <f>_xlfn.STDEV.S(C46:C49)</f>
        <v>3.4757976492251999E-2</v>
      </c>
      <c r="D52" s="1">
        <f>_xlfn.STDEV.S(D46:D49)</f>
        <v>5.1447224498620187E-2</v>
      </c>
    </row>
    <row r="53" spans="2:4" x14ac:dyDescent="0.35">
      <c r="B53" s="3" t="s">
        <v>67</v>
      </c>
      <c r="C53" s="1">
        <f>(C52)/SQRT(4)</f>
        <v>1.7378988246126E-2</v>
      </c>
      <c r="D53" s="1">
        <f>(D52)/SQRT(4)</f>
        <v>2.5723612249310093E-2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Raw (1st p.)</vt:lpstr>
      <vt:lpstr>Raw(2nd p.)</vt:lpstr>
      <vt:lpstr>Raw(3rd p.)</vt:lpstr>
      <vt:lpstr>Raw(4th p.)</vt:lpstr>
      <vt:lpstr>Data analysis 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Heer Mankad</dc:creator>
  <cp:keywords/>
  <dc:description/>
  <cp:lastModifiedBy>Heer Mankad</cp:lastModifiedBy>
  <cp:revision/>
  <dcterms:created xsi:type="dcterms:W3CDTF">2025-08-22T10:59:52Z</dcterms:created>
  <dcterms:modified xsi:type="dcterms:W3CDTF">2025-08-26T16:53:07Z</dcterms:modified>
  <cp:category/>
  <cp:contentStatus/>
</cp:coreProperties>
</file>