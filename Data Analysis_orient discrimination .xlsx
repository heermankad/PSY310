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b6dac49258289e/Desktop/PSY310/Orientation Discrimination Task/data/"/>
    </mc:Choice>
  </mc:AlternateContent>
  <xr:revisionPtr revIDLastSave="443" documentId="8_{08F56228-4A5E-4206-9BFC-2238D018FBD2}" xr6:coauthVersionLast="47" xr6:coauthVersionMax="47" xr10:uidLastSave="{B6A893F0-9C01-4994-AFDD-06988E162E35}"/>
  <bookViews>
    <workbookView xWindow="-110" yWindow="-110" windowWidth="19420" windowHeight="11500" activeTab="1" xr2:uid="{92A3B774-216F-4792-A150-5DE32CB561A9}"/>
  </bookViews>
  <sheets>
    <sheet name="Raw Data " sheetId="1" r:id="rId1"/>
    <sheet name="Analysi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4" l="1"/>
  <c r="K6" i="4"/>
  <c r="K10" i="4" s="1"/>
  <c r="K5" i="4"/>
  <c r="K4" i="4"/>
  <c r="K9" i="4" s="1"/>
  <c r="K13" i="4" l="1"/>
  <c r="K12" i="4"/>
</calcChain>
</file>

<file path=xl/sharedStrings.xml><?xml version="1.0" encoding="utf-8"?>
<sst xmlns="http://schemas.openxmlformats.org/spreadsheetml/2006/main" count="980" uniqueCount="75">
  <si>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</si>
  <si>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</si>
  <si>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</si>
  <si>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</si>
  <si>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</si>
  <si>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</si>
  <si>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</si>
  <si>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tilt</t>
  </si>
  <si>
    <t>trials.thisRepN</t>
  </si>
  <si>
    <t>trials.thisTrialN</t>
  </si>
  <si>
    <t>trials.thisN</t>
  </si>
  <si>
    <t>trials.thisIndex</t>
  </si>
  <si>
    <t>thisRow.t</t>
  </si>
  <si>
    <t>notes</t>
  </si>
  <si>
    <t>Instructions_.started</t>
  </si>
  <si>
    <t>text.started</t>
  </si>
  <si>
    <t>key_resp_2.started</t>
  </si>
  <si>
    <t>Instructions_.stopped</t>
  </si>
  <si>
    <t>key_resp_2.keys</t>
  </si>
  <si>
    <t>key_resp_2.rt</t>
  </si>
  <si>
    <t>key_resp_2.duration</t>
  </si>
  <si>
    <t>trial.started</t>
  </si>
  <si>
    <t>fixation.started</t>
  </si>
  <si>
    <t>fixation.stopped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</si>
  <si>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</si>
  <si>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</si>
  <si>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</si>
  <si>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</si>
  <si>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</si>
  <si>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</si>
  <si>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trials.tilt</t>
  </si>
  <si>
    <t>Thank_you_.started</t>
  </si>
  <si>
    <t>text_2.started</t>
  </si>
  <si>
    <t>text_2.stopped</t>
  </si>
  <si>
    <t>Thank_you_.stopped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</si>
  <si>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</si>
  <si>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</si>
  <si>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</si>
  <si>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</si>
  <si>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</si>
  <si>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</si>
  <si>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</si>
  <si>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</si>
  <si>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</si>
  <si>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</si>
  <si>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2025-09-09_16h17.02.501</t>
  </si>
  <si>
    <t>orient_discrimination</t>
  </si>
  <si>
    <t>2025.1.1</t>
  </si>
  <si>
    <t>2025-09-09 16h17.24.217771 +0530</t>
  </si>
  <si>
    <t>down</t>
  </si>
  <si>
    <t>up</t>
  </si>
  <si>
    <r>
      <t>Hits (H):</t>
    </r>
    <r>
      <rPr>
        <sz val="11"/>
        <color theme="1"/>
        <rFont val="Aptos Narrow"/>
        <family val="2"/>
        <scheme val="minor"/>
      </rPr>
      <t xml:space="preserve"> Correctly said “signal present” when signal was there.</t>
    </r>
  </si>
  <si>
    <r>
      <t>Misses (M):</t>
    </r>
    <r>
      <rPr>
        <sz val="11"/>
        <color theme="1"/>
        <rFont val="Aptos Narrow"/>
        <family val="2"/>
        <scheme val="minor"/>
      </rPr>
      <t xml:space="preserve"> Said “signal absent” when signal was there.</t>
    </r>
  </si>
  <si>
    <r>
      <t>False Alarms (FA):</t>
    </r>
    <r>
      <rPr>
        <sz val="11"/>
        <color theme="1"/>
        <rFont val="Aptos Narrow"/>
        <family val="2"/>
        <scheme val="minor"/>
      </rPr>
      <t xml:space="preserve"> Said “signal present” when it was absent.</t>
    </r>
  </si>
  <si>
    <r>
      <t>Correct Rejections (CR):</t>
    </r>
    <r>
      <rPr>
        <sz val="11"/>
        <color theme="1"/>
        <rFont val="Aptos Narrow"/>
        <family val="2"/>
        <scheme val="minor"/>
      </rPr>
      <t xml:space="preserve"> Correctly said “signal absent” when absent.</t>
    </r>
  </si>
  <si>
    <t>Hits</t>
  </si>
  <si>
    <t xml:space="preserve">Correct rejection </t>
  </si>
  <si>
    <t>hits</t>
  </si>
  <si>
    <t>misses</t>
  </si>
  <si>
    <t xml:space="preserve">correct rejection </t>
  </si>
  <si>
    <t xml:space="preserve">Misses </t>
  </si>
  <si>
    <t xml:space="preserve">False alarm </t>
  </si>
  <si>
    <t>Categories</t>
  </si>
  <si>
    <t xml:space="preserve">Numbers </t>
  </si>
  <si>
    <t>prop hit= hit/hit+miss</t>
  </si>
  <si>
    <t xml:space="preserve">prop fa= fa/fa+corr rejection </t>
  </si>
  <si>
    <t xml:space="preserve">Conditions </t>
  </si>
  <si>
    <t xml:space="preserve">Hit Rate </t>
  </si>
  <si>
    <t>False Alarm Rate</t>
  </si>
  <si>
    <t>d-prime = z(prop hit) -z(prop fa)</t>
  </si>
  <si>
    <t>c = -z(prop hit) + z(prop fa)/2</t>
  </si>
  <si>
    <t xml:space="preserve">d- prime </t>
  </si>
  <si>
    <t>c</t>
  </si>
  <si>
    <t xml:space="preserve">Analysis </t>
  </si>
  <si>
    <t>false 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</si>
</sst>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1" xfId="0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86719-29E1-46FA-B53D-4D8324246EAE}">
  <dimension ref="A1:AQ103"/>
  <sheetViews>
    <sheetView workbookViewId="0">
      <selection activeCell="H1" sqref="H1:H1048576"/>
    </sheetView>
  </sheetViews>
  <sheetFormatPr defaultRowHeight="14.5" x14ac:dyDescent="0.35"/>
  <cols>
    <col min="4" max="4" width="13.26953125" customWidth="1"/>
    <col min="5" max="5" width="14.7265625" customWidth="1"/>
    <col min="6" max="6" width="13.26953125" customWidth="1"/>
  </cols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5">
      <c r="O2">
        <v>2.6202E-3</v>
      </c>
      <c r="P2">
        <v>7.1901999999999999E-3</v>
      </c>
      <c r="Q2">
        <v>7.1901999999999999E-3</v>
      </c>
      <c r="R2">
        <v>17.168606</v>
      </c>
      <c r="S2" t="s">
        <v>43</v>
      </c>
      <c r="T2">
        <v>17.087987999999999</v>
      </c>
      <c r="U2" t="s">
        <v>44</v>
      </c>
      <c r="AJ2">
        <v>1</v>
      </c>
      <c r="AK2">
        <v>1</v>
      </c>
      <c r="AL2" t="s">
        <v>45</v>
      </c>
      <c r="AM2" t="s">
        <v>46</v>
      </c>
      <c r="AO2" t="s">
        <v>47</v>
      </c>
      <c r="AP2">
        <v>60.046968710000002</v>
      </c>
      <c r="AQ2" t="s">
        <v>48</v>
      </c>
    </row>
    <row r="3" spans="1:43" x14ac:dyDescent="0.35">
      <c r="A3">
        <v>0</v>
      </c>
      <c r="B3">
        <v>0</v>
      </c>
      <c r="C3">
        <v>0</v>
      </c>
      <c r="D3" t="s">
        <v>49</v>
      </c>
      <c r="E3">
        <v>1</v>
      </c>
      <c r="F3">
        <v>0.89802879999999996</v>
      </c>
      <c r="G3" t="s">
        <v>44</v>
      </c>
      <c r="H3">
        <v>1</v>
      </c>
      <c r="I3">
        <v>0</v>
      </c>
      <c r="J3">
        <v>0</v>
      </c>
      <c r="K3">
        <v>0</v>
      </c>
      <c r="L3">
        <v>0</v>
      </c>
      <c r="M3">
        <v>17.173832300000001</v>
      </c>
      <c r="V3">
        <v>17.169826199999999</v>
      </c>
      <c r="W3">
        <v>17.173832300000001</v>
      </c>
      <c r="X3">
        <v>18.181078400000001</v>
      </c>
      <c r="Y3">
        <v>18.181078400000001</v>
      </c>
      <c r="Z3">
        <v>19.081458300000001</v>
      </c>
      <c r="AA3" t="s">
        <v>49</v>
      </c>
      <c r="AB3">
        <v>1</v>
      </c>
      <c r="AC3">
        <v>0.89802879999999996</v>
      </c>
      <c r="AD3" t="s">
        <v>44</v>
      </c>
      <c r="AE3">
        <v>1</v>
      </c>
      <c r="AJ3">
        <v>1</v>
      </c>
      <c r="AK3">
        <v>1</v>
      </c>
      <c r="AL3" t="s">
        <v>45</v>
      </c>
      <c r="AM3" t="s">
        <v>46</v>
      </c>
      <c r="AO3" t="s">
        <v>47</v>
      </c>
      <c r="AP3">
        <v>60.046968710000002</v>
      </c>
      <c r="AQ3" t="s">
        <v>48</v>
      </c>
    </row>
    <row r="4" spans="1:43" x14ac:dyDescent="0.35">
      <c r="A4">
        <v>1</v>
      </c>
      <c r="B4">
        <v>0</v>
      </c>
      <c r="C4">
        <v>1</v>
      </c>
      <c r="D4" t="s">
        <v>49</v>
      </c>
      <c r="E4">
        <v>1</v>
      </c>
      <c r="F4">
        <v>0.80498890000000001</v>
      </c>
      <c r="G4" t="s">
        <v>44</v>
      </c>
      <c r="H4">
        <v>1</v>
      </c>
      <c r="I4">
        <v>1</v>
      </c>
      <c r="J4">
        <v>0</v>
      </c>
      <c r="K4">
        <v>1</v>
      </c>
      <c r="L4">
        <v>0</v>
      </c>
      <c r="M4">
        <v>19.0978888</v>
      </c>
      <c r="V4">
        <v>19.0817771</v>
      </c>
      <c r="W4">
        <v>19.0978888</v>
      </c>
      <c r="X4">
        <v>20.098216600000001</v>
      </c>
      <c r="Y4">
        <v>20.081450199999999</v>
      </c>
      <c r="Z4">
        <v>20.8983557</v>
      </c>
      <c r="AA4" t="s">
        <v>49</v>
      </c>
      <c r="AB4">
        <v>1</v>
      </c>
      <c r="AC4">
        <v>0.80498890000000001</v>
      </c>
      <c r="AD4" t="s">
        <v>44</v>
      </c>
      <c r="AE4">
        <v>1</v>
      </c>
      <c r="AJ4">
        <v>1</v>
      </c>
      <c r="AK4">
        <v>1</v>
      </c>
      <c r="AL4" t="s">
        <v>45</v>
      </c>
      <c r="AM4" t="s">
        <v>46</v>
      </c>
      <c r="AO4" t="s">
        <v>47</v>
      </c>
      <c r="AP4">
        <v>60.046968710000002</v>
      </c>
      <c r="AQ4" t="s">
        <v>48</v>
      </c>
    </row>
    <row r="5" spans="1:43" x14ac:dyDescent="0.35">
      <c r="A5">
        <v>2</v>
      </c>
      <c r="B5">
        <v>0</v>
      </c>
      <c r="C5">
        <v>2</v>
      </c>
      <c r="D5" t="s">
        <v>50</v>
      </c>
      <c r="E5">
        <v>0</v>
      </c>
      <c r="F5">
        <v>0.87667930000000005</v>
      </c>
      <c r="G5" t="s">
        <v>44</v>
      </c>
      <c r="H5">
        <v>-2</v>
      </c>
      <c r="I5">
        <v>2</v>
      </c>
      <c r="J5">
        <v>0</v>
      </c>
      <c r="K5">
        <v>2</v>
      </c>
      <c r="L5">
        <v>0</v>
      </c>
      <c r="M5">
        <v>20.9146109</v>
      </c>
      <c r="V5">
        <v>20.898593999999999</v>
      </c>
      <c r="W5">
        <v>20.9146109</v>
      </c>
      <c r="X5">
        <v>21.9146854</v>
      </c>
      <c r="Y5">
        <v>21.897999299999999</v>
      </c>
      <c r="Z5">
        <v>22.781653200000001</v>
      </c>
      <c r="AA5" t="s">
        <v>50</v>
      </c>
      <c r="AB5">
        <v>0</v>
      </c>
      <c r="AC5">
        <v>0.87667930000000005</v>
      </c>
      <c r="AD5" t="s">
        <v>44</v>
      </c>
      <c r="AE5">
        <v>-2</v>
      </c>
      <c r="AJ5">
        <v>1</v>
      </c>
      <c r="AK5">
        <v>1</v>
      </c>
      <c r="AL5" t="s">
        <v>45</v>
      </c>
      <c r="AM5" t="s">
        <v>46</v>
      </c>
      <c r="AO5" t="s">
        <v>47</v>
      </c>
      <c r="AP5">
        <v>60.046968710000002</v>
      </c>
      <c r="AQ5" t="s">
        <v>48</v>
      </c>
    </row>
    <row r="6" spans="1:43" x14ac:dyDescent="0.35">
      <c r="A6">
        <v>3</v>
      </c>
      <c r="B6">
        <v>0</v>
      </c>
      <c r="C6">
        <v>3</v>
      </c>
      <c r="D6" t="s">
        <v>50</v>
      </c>
      <c r="E6">
        <v>1</v>
      </c>
      <c r="F6">
        <v>0.48965370000000003</v>
      </c>
      <c r="G6" t="s">
        <v>44</v>
      </c>
      <c r="H6">
        <v>0</v>
      </c>
      <c r="I6">
        <v>3</v>
      </c>
      <c r="J6">
        <v>0</v>
      </c>
      <c r="K6">
        <v>3</v>
      </c>
      <c r="L6">
        <v>0</v>
      </c>
      <c r="M6">
        <v>22.797912700000001</v>
      </c>
      <c r="V6">
        <v>22.7818288</v>
      </c>
      <c r="W6">
        <v>22.797912700000001</v>
      </c>
      <c r="X6">
        <v>23.797810900000002</v>
      </c>
      <c r="Y6">
        <v>23.781111899999999</v>
      </c>
      <c r="Z6">
        <v>24.281185000000001</v>
      </c>
      <c r="AA6" t="s">
        <v>50</v>
      </c>
      <c r="AB6">
        <v>1</v>
      </c>
      <c r="AC6">
        <v>0.48965370000000003</v>
      </c>
      <c r="AD6" t="s">
        <v>44</v>
      </c>
      <c r="AE6">
        <v>0</v>
      </c>
      <c r="AJ6">
        <v>1</v>
      </c>
      <c r="AK6">
        <v>1</v>
      </c>
      <c r="AL6" t="s">
        <v>45</v>
      </c>
      <c r="AM6" t="s">
        <v>46</v>
      </c>
      <c r="AO6" t="s">
        <v>47</v>
      </c>
      <c r="AP6">
        <v>60.046968710000002</v>
      </c>
      <c r="AQ6" t="s">
        <v>48</v>
      </c>
    </row>
    <row r="7" spans="1:43" x14ac:dyDescent="0.35">
      <c r="A7">
        <v>4</v>
      </c>
      <c r="B7">
        <v>0</v>
      </c>
      <c r="C7">
        <v>4</v>
      </c>
      <c r="D7" t="s">
        <v>50</v>
      </c>
      <c r="E7">
        <v>1</v>
      </c>
      <c r="F7">
        <v>3.4569106999999999</v>
      </c>
      <c r="G7" t="s">
        <v>44</v>
      </c>
      <c r="H7">
        <v>0</v>
      </c>
      <c r="I7">
        <v>4</v>
      </c>
      <c r="J7">
        <v>0</v>
      </c>
      <c r="K7">
        <v>4</v>
      </c>
      <c r="L7">
        <v>0</v>
      </c>
      <c r="M7">
        <v>24.297579599999999</v>
      </c>
      <c r="V7">
        <v>24.2813777</v>
      </c>
      <c r="W7">
        <v>24.297579599999999</v>
      </c>
      <c r="X7">
        <v>25.297799900000001</v>
      </c>
      <c r="Y7">
        <v>25.281005499999999</v>
      </c>
      <c r="Z7">
        <v>28.747678000000001</v>
      </c>
      <c r="AA7" t="s">
        <v>50</v>
      </c>
      <c r="AB7">
        <v>1</v>
      </c>
      <c r="AC7">
        <v>3.4569106999999999</v>
      </c>
      <c r="AD7" t="s">
        <v>44</v>
      </c>
      <c r="AE7">
        <v>0</v>
      </c>
      <c r="AJ7">
        <v>1</v>
      </c>
      <c r="AK7">
        <v>1</v>
      </c>
      <c r="AL7" t="s">
        <v>45</v>
      </c>
      <c r="AM7" t="s">
        <v>46</v>
      </c>
      <c r="AO7" t="s">
        <v>47</v>
      </c>
      <c r="AP7">
        <v>60.046968710000002</v>
      </c>
      <c r="AQ7" t="s">
        <v>48</v>
      </c>
    </row>
    <row r="8" spans="1:43" x14ac:dyDescent="0.35">
      <c r="A8">
        <v>5</v>
      </c>
      <c r="B8">
        <v>0</v>
      </c>
      <c r="C8">
        <v>5</v>
      </c>
      <c r="D8" t="s">
        <v>49</v>
      </c>
      <c r="E8">
        <v>1</v>
      </c>
      <c r="F8">
        <v>0.83478209999999997</v>
      </c>
      <c r="G8" t="s">
        <v>44</v>
      </c>
      <c r="H8">
        <v>2</v>
      </c>
      <c r="I8">
        <v>5</v>
      </c>
      <c r="J8">
        <v>0</v>
      </c>
      <c r="K8">
        <v>5</v>
      </c>
      <c r="L8">
        <v>0</v>
      </c>
      <c r="M8">
        <v>28.764378900000001</v>
      </c>
      <c r="V8">
        <v>28.748007699999999</v>
      </c>
      <c r="W8">
        <v>28.764378900000001</v>
      </c>
      <c r="X8">
        <v>29.7640867</v>
      </c>
      <c r="Y8">
        <v>29.747534000000002</v>
      </c>
      <c r="Z8">
        <v>30.5976085</v>
      </c>
      <c r="AA8" t="s">
        <v>49</v>
      </c>
      <c r="AB8">
        <v>1</v>
      </c>
      <c r="AC8">
        <v>0.83478209999999997</v>
      </c>
      <c r="AD8" t="s">
        <v>44</v>
      </c>
      <c r="AE8">
        <v>2</v>
      </c>
      <c r="AJ8">
        <v>1</v>
      </c>
      <c r="AK8">
        <v>1</v>
      </c>
      <c r="AL8" t="s">
        <v>45</v>
      </c>
      <c r="AM8" t="s">
        <v>46</v>
      </c>
      <c r="AO8" t="s">
        <v>47</v>
      </c>
      <c r="AP8">
        <v>60.046968710000002</v>
      </c>
      <c r="AQ8" t="s">
        <v>48</v>
      </c>
    </row>
    <row r="9" spans="1:43" x14ac:dyDescent="0.35">
      <c r="A9">
        <v>6</v>
      </c>
      <c r="B9">
        <v>0</v>
      </c>
      <c r="C9">
        <v>6</v>
      </c>
      <c r="D9" t="s">
        <v>49</v>
      </c>
      <c r="E9">
        <v>1</v>
      </c>
      <c r="F9">
        <v>0.67639930000000004</v>
      </c>
      <c r="G9" t="s">
        <v>44</v>
      </c>
      <c r="H9">
        <v>-5</v>
      </c>
      <c r="I9">
        <v>6</v>
      </c>
      <c r="J9">
        <v>0</v>
      </c>
      <c r="K9">
        <v>6</v>
      </c>
      <c r="L9">
        <v>0</v>
      </c>
      <c r="M9">
        <v>30.613884299999999</v>
      </c>
      <c r="V9">
        <v>30.597812000000001</v>
      </c>
      <c r="W9">
        <v>30.613884299999999</v>
      </c>
      <c r="X9">
        <v>31.6140899</v>
      </c>
      <c r="Y9">
        <v>31.597522399999999</v>
      </c>
      <c r="Z9">
        <v>32.2808049</v>
      </c>
      <c r="AA9" t="s">
        <v>49</v>
      </c>
      <c r="AB9">
        <v>1</v>
      </c>
      <c r="AC9">
        <v>0.67639930000000004</v>
      </c>
      <c r="AD9" t="s">
        <v>44</v>
      </c>
      <c r="AE9">
        <v>-5</v>
      </c>
      <c r="AJ9">
        <v>1</v>
      </c>
      <c r="AK9">
        <v>1</v>
      </c>
      <c r="AL9" t="s">
        <v>45</v>
      </c>
      <c r="AM9" t="s">
        <v>46</v>
      </c>
      <c r="AO9" t="s">
        <v>47</v>
      </c>
      <c r="AP9">
        <v>60.046968710000002</v>
      </c>
      <c r="AQ9" t="s">
        <v>48</v>
      </c>
    </row>
    <row r="10" spans="1:43" x14ac:dyDescent="0.35">
      <c r="A10">
        <v>7</v>
      </c>
      <c r="B10">
        <v>0</v>
      </c>
      <c r="C10">
        <v>7</v>
      </c>
      <c r="D10" t="s">
        <v>50</v>
      </c>
      <c r="E10">
        <v>1</v>
      </c>
      <c r="F10">
        <v>0.60407420000000001</v>
      </c>
      <c r="G10" t="s">
        <v>44</v>
      </c>
      <c r="H10">
        <v>0</v>
      </c>
      <c r="I10">
        <v>7</v>
      </c>
      <c r="J10">
        <v>0</v>
      </c>
      <c r="K10">
        <v>7</v>
      </c>
      <c r="L10">
        <v>0</v>
      </c>
      <c r="M10">
        <v>32.2975183</v>
      </c>
      <c r="V10">
        <v>32.280973199999998</v>
      </c>
      <c r="W10">
        <v>32.2975183</v>
      </c>
      <c r="X10">
        <v>33.297540499999997</v>
      </c>
      <c r="Y10">
        <v>33.280653100000002</v>
      </c>
      <c r="Z10">
        <v>33.8974835</v>
      </c>
      <c r="AA10" t="s">
        <v>50</v>
      </c>
      <c r="AB10">
        <v>1</v>
      </c>
      <c r="AC10">
        <v>0.60407420000000001</v>
      </c>
      <c r="AD10" t="s">
        <v>44</v>
      </c>
      <c r="AE10">
        <v>0</v>
      </c>
      <c r="AJ10">
        <v>1</v>
      </c>
      <c r="AK10">
        <v>1</v>
      </c>
      <c r="AL10" t="s">
        <v>45</v>
      </c>
      <c r="AM10" t="s">
        <v>46</v>
      </c>
      <c r="AO10" t="s">
        <v>47</v>
      </c>
      <c r="AP10">
        <v>60.046968710000002</v>
      </c>
      <c r="AQ10" t="s">
        <v>48</v>
      </c>
    </row>
    <row r="11" spans="1:43" x14ac:dyDescent="0.35">
      <c r="A11">
        <v>8</v>
      </c>
      <c r="B11">
        <v>0</v>
      </c>
      <c r="C11">
        <v>8</v>
      </c>
      <c r="D11" t="s">
        <v>49</v>
      </c>
      <c r="E11">
        <v>1</v>
      </c>
      <c r="F11">
        <v>0.60366209999999998</v>
      </c>
      <c r="G11" t="s">
        <v>44</v>
      </c>
      <c r="H11">
        <v>-2</v>
      </c>
      <c r="I11">
        <v>8</v>
      </c>
      <c r="J11">
        <v>0</v>
      </c>
      <c r="K11">
        <v>8</v>
      </c>
      <c r="L11">
        <v>0</v>
      </c>
      <c r="M11">
        <v>33.913847500000003</v>
      </c>
      <c r="V11">
        <v>33.897688799999997</v>
      </c>
      <c r="W11">
        <v>33.913847500000003</v>
      </c>
      <c r="X11">
        <v>34.913837399999998</v>
      </c>
      <c r="Y11">
        <v>34.897182000000001</v>
      </c>
      <c r="Z11">
        <v>35.514130299999998</v>
      </c>
      <c r="AA11" t="s">
        <v>49</v>
      </c>
      <c r="AB11">
        <v>1</v>
      </c>
      <c r="AC11">
        <v>0.60366209999999998</v>
      </c>
      <c r="AD11" t="s">
        <v>44</v>
      </c>
      <c r="AE11">
        <v>-2</v>
      </c>
      <c r="AJ11">
        <v>1</v>
      </c>
      <c r="AK11">
        <v>1</v>
      </c>
      <c r="AL11" t="s">
        <v>45</v>
      </c>
      <c r="AM11" t="s">
        <v>46</v>
      </c>
      <c r="AO11" t="s">
        <v>47</v>
      </c>
      <c r="AP11">
        <v>60.046968710000002</v>
      </c>
      <c r="AQ11" t="s">
        <v>48</v>
      </c>
    </row>
    <row r="12" spans="1:43" x14ac:dyDescent="0.35">
      <c r="A12">
        <v>9</v>
      </c>
      <c r="B12">
        <v>0</v>
      </c>
      <c r="C12">
        <v>9</v>
      </c>
      <c r="D12" t="s">
        <v>50</v>
      </c>
      <c r="E12">
        <v>1</v>
      </c>
      <c r="F12">
        <v>1.0431935000000001</v>
      </c>
      <c r="G12" t="s">
        <v>44</v>
      </c>
      <c r="H12">
        <v>0</v>
      </c>
      <c r="I12">
        <v>9</v>
      </c>
      <c r="J12">
        <v>0</v>
      </c>
      <c r="K12">
        <v>9</v>
      </c>
      <c r="L12">
        <v>0</v>
      </c>
      <c r="M12">
        <v>35.530475199999998</v>
      </c>
      <c r="V12">
        <v>35.514381499999999</v>
      </c>
      <c r="W12">
        <v>35.530475199999998</v>
      </c>
      <c r="X12">
        <v>36.530721499999999</v>
      </c>
      <c r="Y12">
        <v>36.513833300000002</v>
      </c>
      <c r="Z12">
        <v>37.563853299999998</v>
      </c>
      <c r="AA12" t="s">
        <v>50</v>
      </c>
      <c r="AB12">
        <v>1</v>
      </c>
      <c r="AC12">
        <v>1.0431935000000001</v>
      </c>
      <c r="AD12" t="s">
        <v>44</v>
      </c>
      <c r="AE12">
        <v>0</v>
      </c>
      <c r="AJ12">
        <v>1</v>
      </c>
      <c r="AK12">
        <v>1</v>
      </c>
      <c r="AL12" t="s">
        <v>45</v>
      </c>
      <c r="AM12" t="s">
        <v>46</v>
      </c>
      <c r="AO12" t="s">
        <v>47</v>
      </c>
      <c r="AP12">
        <v>60.046968710000002</v>
      </c>
      <c r="AQ12" t="s">
        <v>48</v>
      </c>
    </row>
    <row r="13" spans="1:43" x14ac:dyDescent="0.35">
      <c r="A13">
        <v>10</v>
      </c>
      <c r="B13">
        <v>0</v>
      </c>
      <c r="C13">
        <v>10</v>
      </c>
      <c r="D13" t="s">
        <v>49</v>
      </c>
      <c r="E13">
        <v>1</v>
      </c>
      <c r="F13">
        <v>0.53273340000000002</v>
      </c>
      <c r="G13" t="s">
        <v>44</v>
      </c>
      <c r="H13">
        <v>4</v>
      </c>
      <c r="I13">
        <v>10</v>
      </c>
      <c r="J13">
        <v>0</v>
      </c>
      <c r="K13">
        <v>10</v>
      </c>
      <c r="L13">
        <v>0</v>
      </c>
      <c r="M13">
        <v>37.580209000000004</v>
      </c>
      <c r="O13" s="1"/>
      <c r="V13">
        <v>37.564158399999997</v>
      </c>
      <c r="W13">
        <v>37.580209000000004</v>
      </c>
      <c r="X13">
        <v>38.580534100000001</v>
      </c>
      <c r="Y13">
        <v>38.5638048</v>
      </c>
      <c r="Z13">
        <v>39.115845700000001</v>
      </c>
      <c r="AA13" t="s">
        <v>49</v>
      </c>
      <c r="AB13">
        <v>1</v>
      </c>
      <c r="AC13">
        <v>0.53273340000000002</v>
      </c>
      <c r="AD13" t="s">
        <v>44</v>
      </c>
      <c r="AE13">
        <v>4</v>
      </c>
      <c r="AJ13">
        <v>1</v>
      </c>
      <c r="AK13">
        <v>1</v>
      </c>
      <c r="AL13" t="s">
        <v>45</v>
      </c>
      <c r="AM13" t="s">
        <v>46</v>
      </c>
      <c r="AO13" t="s">
        <v>47</v>
      </c>
      <c r="AP13">
        <v>60.046968710000002</v>
      </c>
      <c r="AQ13" t="s">
        <v>48</v>
      </c>
    </row>
    <row r="14" spans="1:43" x14ac:dyDescent="0.35">
      <c r="A14">
        <v>11</v>
      </c>
      <c r="B14">
        <v>0</v>
      </c>
      <c r="C14">
        <v>11</v>
      </c>
      <c r="D14" t="s">
        <v>49</v>
      </c>
      <c r="E14">
        <v>1</v>
      </c>
      <c r="F14">
        <v>0.49051889999999998</v>
      </c>
      <c r="G14" t="s">
        <v>44</v>
      </c>
      <c r="H14">
        <v>4</v>
      </c>
      <c r="I14">
        <v>11</v>
      </c>
      <c r="J14">
        <v>0</v>
      </c>
      <c r="K14">
        <v>11</v>
      </c>
      <c r="L14">
        <v>0</v>
      </c>
      <c r="M14">
        <v>39.130244599999997</v>
      </c>
      <c r="V14">
        <v>39.116124900000003</v>
      </c>
      <c r="W14">
        <v>39.130244599999997</v>
      </c>
      <c r="X14">
        <v>40.130466300000002</v>
      </c>
      <c r="Y14">
        <v>40.130466300000002</v>
      </c>
      <c r="Z14">
        <v>40.6303926</v>
      </c>
      <c r="AA14" t="s">
        <v>49</v>
      </c>
      <c r="AB14">
        <v>1</v>
      </c>
      <c r="AC14">
        <v>0.49051889999999998</v>
      </c>
      <c r="AD14" t="s">
        <v>44</v>
      </c>
      <c r="AE14">
        <v>4</v>
      </c>
      <c r="AJ14">
        <v>1</v>
      </c>
      <c r="AK14">
        <v>1</v>
      </c>
      <c r="AL14" t="s">
        <v>45</v>
      </c>
      <c r="AM14" t="s">
        <v>46</v>
      </c>
      <c r="AO14" t="s">
        <v>47</v>
      </c>
      <c r="AP14">
        <v>60.046968710000002</v>
      </c>
      <c r="AQ14" t="s">
        <v>48</v>
      </c>
    </row>
    <row r="15" spans="1:43" x14ac:dyDescent="0.35">
      <c r="A15">
        <v>12</v>
      </c>
      <c r="B15">
        <v>0</v>
      </c>
      <c r="C15">
        <v>12</v>
      </c>
      <c r="D15" t="s">
        <v>50</v>
      </c>
      <c r="E15">
        <v>1</v>
      </c>
      <c r="F15">
        <v>0.67925959999999996</v>
      </c>
      <c r="G15" t="s">
        <v>44</v>
      </c>
      <c r="H15">
        <v>0</v>
      </c>
      <c r="I15">
        <v>12</v>
      </c>
      <c r="J15">
        <v>0</v>
      </c>
      <c r="K15">
        <v>12</v>
      </c>
      <c r="L15">
        <v>0</v>
      </c>
      <c r="M15">
        <v>40.647026500000003</v>
      </c>
      <c r="O15" s="1"/>
      <c r="V15">
        <v>40.630578100000001</v>
      </c>
      <c r="W15">
        <v>40.647026500000003</v>
      </c>
      <c r="X15">
        <v>41.647015500000002</v>
      </c>
      <c r="Y15">
        <v>41.630656100000003</v>
      </c>
      <c r="Z15">
        <v>42.313917600000003</v>
      </c>
      <c r="AA15" t="s">
        <v>50</v>
      </c>
      <c r="AB15">
        <v>1</v>
      </c>
      <c r="AC15">
        <v>0.67925959999999996</v>
      </c>
      <c r="AD15" t="s">
        <v>44</v>
      </c>
      <c r="AE15">
        <v>0</v>
      </c>
      <c r="AJ15">
        <v>1</v>
      </c>
      <c r="AK15">
        <v>1</v>
      </c>
      <c r="AL15" t="s">
        <v>45</v>
      </c>
      <c r="AM15" t="s">
        <v>46</v>
      </c>
      <c r="AO15" t="s">
        <v>47</v>
      </c>
      <c r="AP15">
        <v>60.046968710000002</v>
      </c>
      <c r="AQ15" t="s">
        <v>48</v>
      </c>
    </row>
    <row r="16" spans="1:43" x14ac:dyDescent="0.35">
      <c r="A16">
        <v>13</v>
      </c>
      <c r="B16">
        <v>0</v>
      </c>
      <c r="C16">
        <v>13</v>
      </c>
      <c r="D16" t="s">
        <v>49</v>
      </c>
      <c r="E16">
        <v>0</v>
      </c>
      <c r="F16">
        <v>1.0607856</v>
      </c>
      <c r="G16" t="s">
        <v>44</v>
      </c>
      <c r="H16">
        <v>0</v>
      </c>
      <c r="I16">
        <v>13</v>
      </c>
      <c r="J16">
        <v>0</v>
      </c>
      <c r="K16">
        <v>13</v>
      </c>
      <c r="L16">
        <v>0</v>
      </c>
      <c r="M16">
        <v>42.330160300000003</v>
      </c>
      <c r="V16">
        <v>42.314107999999997</v>
      </c>
      <c r="W16">
        <v>42.330160300000003</v>
      </c>
      <c r="X16">
        <v>43.329912499999999</v>
      </c>
      <c r="Y16">
        <v>43.313433500000002</v>
      </c>
      <c r="Z16">
        <v>44.380130399999999</v>
      </c>
      <c r="AA16" t="s">
        <v>49</v>
      </c>
      <c r="AB16">
        <v>0</v>
      </c>
      <c r="AC16">
        <v>1.0607856</v>
      </c>
      <c r="AD16" t="s">
        <v>44</v>
      </c>
      <c r="AE16">
        <v>0</v>
      </c>
      <c r="AJ16">
        <v>1</v>
      </c>
      <c r="AK16">
        <v>1</v>
      </c>
      <c r="AL16" t="s">
        <v>45</v>
      </c>
      <c r="AM16" t="s">
        <v>46</v>
      </c>
      <c r="AO16" t="s">
        <v>47</v>
      </c>
      <c r="AP16">
        <v>60.046968710000002</v>
      </c>
      <c r="AQ16" t="s">
        <v>48</v>
      </c>
    </row>
    <row r="17" spans="1:43" x14ac:dyDescent="0.35">
      <c r="A17">
        <v>14</v>
      </c>
      <c r="B17">
        <v>0</v>
      </c>
      <c r="C17">
        <v>14</v>
      </c>
      <c r="D17" t="s">
        <v>50</v>
      </c>
      <c r="E17">
        <v>1</v>
      </c>
      <c r="F17">
        <v>0.52316010000000002</v>
      </c>
      <c r="G17" t="s">
        <v>44</v>
      </c>
      <c r="H17">
        <v>0</v>
      </c>
      <c r="I17">
        <v>14</v>
      </c>
      <c r="J17">
        <v>0</v>
      </c>
      <c r="K17">
        <v>14</v>
      </c>
      <c r="L17">
        <v>0</v>
      </c>
      <c r="M17">
        <v>44.396634599999999</v>
      </c>
      <c r="O17" s="1"/>
      <c r="V17">
        <v>44.380291700000001</v>
      </c>
      <c r="W17">
        <v>44.396634599999999</v>
      </c>
      <c r="X17">
        <v>45.396730900000001</v>
      </c>
      <c r="Y17">
        <v>45.380097399999997</v>
      </c>
      <c r="Z17">
        <v>45.913505000000001</v>
      </c>
      <c r="AA17" t="s">
        <v>50</v>
      </c>
      <c r="AB17">
        <v>1</v>
      </c>
      <c r="AC17">
        <v>0.52316010000000002</v>
      </c>
      <c r="AD17" t="s">
        <v>44</v>
      </c>
      <c r="AE17">
        <v>0</v>
      </c>
      <c r="AJ17">
        <v>1</v>
      </c>
      <c r="AK17">
        <v>1</v>
      </c>
      <c r="AL17" t="s">
        <v>45</v>
      </c>
      <c r="AM17" t="s">
        <v>46</v>
      </c>
      <c r="AO17" t="s">
        <v>47</v>
      </c>
      <c r="AP17">
        <v>60.046968710000002</v>
      </c>
      <c r="AQ17" t="s">
        <v>48</v>
      </c>
    </row>
    <row r="18" spans="1:43" x14ac:dyDescent="0.35">
      <c r="A18">
        <v>15</v>
      </c>
      <c r="B18">
        <v>0</v>
      </c>
      <c r="C18">
        <v>15</v>
      </c>
      <c r="D18" t="s">
        <v>49</v>
      </c>
      <c r="E18">
        <v>1</v>
      </c>
      <c r="F18">
        <v>0.80664440000000004</v>
      </c>
      <c r="G18" t="s">
        <v>44</v>
      </c>
      <c r="H18">
        <v>1</v>
      </c>
      <c r="I18">
        <v>15</v>
      </c>
      <c r="J18">
        <v>0</v>
      </c>
      <c r="K18">
        <v>15</v>
      </c>
      <c r="L18">
        <v>0</v>
      </c>
      <c r="M18">
        <v>45.929902800000001</v>
      </c>
      <c r="V18">
        <v>45.913705899999997</v>
      </c>
      <c r="W18">
        <v>45.929902800000001</v>
      </c>
      <c r="X18">
        <v>46.929734699999997</v>
      </c>
      <c r="Y18">
        <v>46.913081400000003</v>
      </c>
      <c r="Z18">
        <v>47.730105199999997</v>
      </c>
      <c r="AA18" t="s">
        <v>49</v>
      </c>
      <c r="AB18">
        <v>1</v>
      </c>
      <c r="AC18">
        <v>0.80664440000000004</v>
      </c>
      <c r="AD18" t="s">
        <v>44</v>
      </c>
      <c r="AE18">
        <v>1</v>
      </c>
      <c r="AJ18">
        <v>1</v>
      </c>
      <c r="AK18">
        <v>1</v>
      </c>
      <c r="AL18" t="s">
        <v>45</v>
      </c>
      <c r="AM18" t="s">
        <v>46</v>
      </c>
      <c r="AO18" t="s">
        <v>47</v>
      </c>
      <c r="AP18">
        <v>60.046968710000002</v>
      </c>
      <c r="AQ18" t="s">
        <v>48</v>
      </c>
    </row>
    <row r="19" spans="1:43" x14ac:dyDescent="0.35">
      <c r="A19">
        <v>16</v>
      </c>
      <c r="B19">
        <v>0</v>
      </c>
      <c r="C19">
        <v>16</v>
      </c>
      <c r="D19" t="s">
        <v>50</v>
      </c>
      <c r="E19">
        <v>1</v>
      </c>
      <c r="F19">
        <v>0.64603049999999995</v>
      </c>
      <c r="G19" t="s">
        <v>44</v>
      </c>
      <c r="H19">
        <v>0</v>
      </c>
      <c r="I19">
        <v>16</v>
      </c>
      <c r="J19">
        <v>0</v>
      </c>
      <c r="K19">
        <v>16</v>
      </c>
      <c r="L19">
        <v>0</v>
      </c>
      <c r="M19">
        <v>47.746457999999997</v>
      </c>
      <c r="O19" s="1"/>
      <c r="V19">
        <v>47.730277100000002</v>
      </c>
      <c r="W19">
        <v>47.746457999999997</v>
      </c>
      <c r="X19">
        <v>48.746508499999997</v>
      </c>
      <c r="Y19">
        <v>48.730027900000003</v>
      </c>
      <c r="Z19">
        <v>49.380127700000003</v>
      </c>
      <c r="AA19" t="s">
        <v>50</v>
      </c>
      <c r="AB19">
        <v>1</v>
      </c>
      <c r="AC19">
        <v>0.64603049999999995</v>
      </c>
      <c r="AD19" t="s">
        <v>44</v>
      </c>
      <c r="AE19">
        <v>0</v>
      </c>
      <c r="AJ19">
        <v>1</v>
      </c>
      <c r="AK19">
        <v>1</v>
      </c>
      <c r="AL19" t="s">
        <v>45</v>
      </c>
      <c r="AM19" t="s">
        <v>46</v>
      </c>
      <c r="AO19" t="s">
        <v>47</v>
      </c>
      <c r="AP19">
        <v>60.046968710000002</v>
      </c>
      <c r="AQ19" t="s">
        <v>48</v>
      </c>
    </row>
    <row r="20" spans="1:43" x14ac:dyDescent="0.35">
      <c r="A20">
        <v>17</v>
      </c>
      <c r="B20">
        <v>0</v>
      </c>
      <c r="C20">
        <v>17</v>
      </c>
      <c r="D20" t="s">
        <v>49</v>
      </c>
      <c r="E20">
        <v>1</v>
      </c>
      <c r="F20">
        <v>0.72261149999999996</v>
      </c>
      <c r="G20" t="s">
        <v>44</v>
      </c>
      <c r="H20">
        <v>-4</v>
      </c>
      <c r="I20">
        <v>17</v>
      </c>
      <c r="J20">
        <v>0</v>
      </c>
      <c r="K20">
        <v>17</v>
      </c>
      <c r="L20">
        <v>0</v>
      </c>
      <c r="M20">
        <v>49.396467600000001</v>
      </c>
      <c r="V20">
        <v>49.380341299999998</v>
      </c>
      <c r="W20">
        <v>49.396467600000001</v>
      </c>
      <c r="X20">
        <v>50.3962675</v>
      </c>
      <c r="Y20">
        <v>50.379779399999997</v>
      </c>
      <c r="Z20">
        <v>51.113154299999998</v>
      </c>
      <c r="AA20" t="s">
        <v>49</v>
      </c>
      <c r="AB20">
        <v>1</v>
      </c>
      <c r="AC20">
        <v>0.72261149999999996</v>
      </c>
      <c r="AD20" t="s">
        <v>44</v>
      </c>
      <c r="AE20">
        <v>-4</v>
      </c>
      <c r="AJ20">
        <v>1</v>
      </c>
      <c r="AK20">
        <v>1</v>
      </c>
      <c r="AL20" t="s">
        <v>45</v>
      </c>
      <c r="AM20" t="s">
        <v>46</v>
      </c>
      <c r="AO20" t="s">
        <v>47</v>
      </c>
      <c r="AP20">
        <v>60.046968710000002</v>
      </c>
      <c r="AQ20" t="s">
        <v>48</v>
      </c>
    </row>
    <row r="21" spans="1:43" x14ac:dyDescent="0.35">
      <c r="A21">
        <v>18</v>
      </c>
      <c r="B21">
        <v>0</v>
      </c>
      <c r="C21">
        <v>18</v>
      </c>
      <c r="D21" t="s">
        <v>50</v>
      </c>
      <c r="E21">
        <v>1</v>
      </c>
      <c r="F21">
        <v>0.82808389999999998</v>
      </c>
      <c r="G21" t="s">
        <v>44</v>
      </c>
      <c r="H21">
        <v>0</v>
      </c>
      <c r="I21">
        <v>18</v>
      </c>
      <c r="J21">
        <v>0</v>
      </c>
      <c r="K21">
        <v>18</v>
      </c>
      <c r="L21">
        <v>0</v>
      </c>
      <c r="M21">
        <v>51.129600600000003</v>
      </c>
      <c r="V21">
        <v>51.113372499999997</v>
      </c>
      <c r="W21">
        <v>51.129600600000003</v>
      </c>
      <c r="X21">
        <v>52.129655700000001</v>
      </c>
      <c r="Y21">
        <v>52.1128663</v>
      </c>
      <c r="Z21">
        <v>52.946307900000001</v>
      </c>
      <c r="AA21" t="s">
        <v>50</v>
      </c>
      <c r="AB21">
        <v>1</v>
      </c>
      <c r="AC21">
        <v>0.82808389999999998</v>
      </c>
      <c r="AD21" t="s">
        <v>44</v>
      </c>
      <c r="AE21">
        <v>0</v>
      </c>
      <c r="AJ21">
        <v>1</v>
      </c>
      <c r="AK21">
        <v>1</v>
      </c>
      <c r="AL21" t="s">
        <v>45</v>
      </c>
      <c r="AM21" t="s">
        <v>46</v>
      </c>
      <c r="AO21" t="s">
        <v>47</v>
      </c>
      <c r="AP21">
        <v>60.046968710000002</v>
      </c>
      <c r="AQ21" t="s">
        <v>48</v>
      </c>
    </row>
    <row r="22" spans="1:43" x14ac:dyDescent="0.35">
      <c r="A22">
        <v>19</v>
      </c>
      <c r="B22">
        <v>0</v>
      </c>
      <c r="C22">
        <v>19</v>
      </c>
      <c r="D22" t="s">
        <v>50</v>
      </c>
      <c r="E22">
        <v>1</v>
      </c>
      <c r="F22">
        <v>0.61918819999999997</v>
      </c>
      <c r="G22" t="s">
        <v>44</v>
      </c>
      <c r="H22">
        <v>0</v>
      </c>
      <c r="I22">
        <v>19</v>
      </c>
      <c r="J22">
        <v>0</v>
      </c>
      <c r="K22">
        <v>19</v>
      </c>
      <c r="L22">
        <v>0</v>
      </c>
      <c r="M22">
        <v>52.962716100000002</v>
      </c>
      <c r="V22">
        <v>52.946524699999998</v>
      </c>
      <c r="W22">
        <v>52.962716100000002</v>
      </c>
      <c r="X22">
        <v>53.9909666</v>
      </c>
      <c r="Y22">
        <v>53.987664100000003</v>
      </c>
      <c r="Z22">
        <v>54.613105099999999</v>
      </c>
      <c r="AA22" t="s">
        <v>50</v>
      </c>
      <c r="AB22">
        <v>1</v>
      </c>
      <c r="AC22">
        <v>0.61918819999999997</v>
      </c>
      <c r="AD22" t="s">
        <v>44</v>
      </c>
      <c r="AE22">
        <v>0</v>
      </c>
      <c r="AJ22">
        <v>1</v>
      </c>
      <c r="AK22">
        <v>1</v>
      </c>
      <c r="AL22" t="s">
        <v>45</v>
      </c>
      <c r="AM22" t="s">
        <v>46</v>
      </c>
      <c r="AO22" t="s">
        <v>47</v>
      </c>
      <c r="AP22">
        <v>60.046968710000002</v>
      </c>
      <c r="AQ22" t="s">
        <v>48</v>
      </c>
    </row>
    <row r="23" spans="1:43" x14ac:dyDescent="0.35">
      <c r="A23">
        <v>20</v>
      </c>
      <c r="B23">
        <v>0</v>
      </c>
      <c r="C23">
        <v>20</v>
      </c>
      <c r="D23" t="s">
        <v>50</v>
      </c>
      <c r="E23">
        <v>0</v>
      </c>
      <c r="F23">
        <v>0.45561220000000002</v>
      </c>
      <c r="G23" t="s">
        <v>44</v>
      </c>
      <c r="H23">
        <v>4</v>
      </c>
      <c r="I23">
        <v>20</v>
      </c>
      <c r="J23">
        <v>0</v>
      </c>
      <c r="K23">
        <v>20</v>
      </c>
      <c r="L23">
        <v>0</v>
      </c>
      <c r="M23">
        <v>54.629675300000002</v>
      </c>
      <c r="V23">
        <v>54.613297299999999</v>
      </c>
      <c r="W23">
        <v>54.629675300000002</v>
      </c>
      <c r="X23">
        <v>55.629872499999998</v>
      </c>
      <c r="Y23">
        <v>55.612803999999997</v>
      </c>
      <c r="Z23">
        <v>56.079821500000001</v>
      </c>
      <c r="AA23" t="s">
        <v>50</v>
      </c>
      <c r="AB23">
        <v>0</v>
      </c>
      <c r="AC23">
        <v>0.45561220000000002</v>
      </c>
      <c r="AD23" t="s">
        <v>44</v>
      </c>
      <c r="AE23">
        <v>4</v>
      </c>
      <c r="AJ23">
        <v>1</v>
      </c>
      <c r="AK23">
        <v>1</v>
      </c>
      <c r="AL23" t="s">
        <v>45</v>
      </c>
      <c r="AM23" t="s">
        <v>46</v>
      </c>
      <c r="AO23" t="s">
        <v>47</v>
      </c>
      <c r="AP23">
        <v>60.046968710000002</v>
      </c>
      <c r="AQ23" t="s">
        <v>48</v>
      </c>
    </row>
    <row r="24" spans="1:43" x14ac:dyDescent="0.35">
      <c r="A24">
        <v>21</v>
      </c>
      <c r="B24">
        <v>0</v>
      </c>
      <c r="C24">
        <v>21</v>
      </c>
      <c r="D24" t="s">
        <v>50</v>
      </c>
      <c r="E24">
        <v>1</v>
      </c>
      <c r="F24">
        <v>0.68205119999999997</v>
      </c>
      <c r="G24" t="s">
        <v>44</v>
      </c>
      <c r="H24">
        <v>0</v>
      </c>
      <c r="I24">
        <v>21</v>
      </c>
      <c r="J24">
        <v>0</v>
      </c>
      <c r="K24">
        <v>21</v>
      </c>
      <c r="L24">
        <v>0</v>
      </c>
      <c r="M24">
        <v>56.0962599</v>
      </c>
      <c r="V24">
        <v>56.080009199999999</v>
      </c>
      <c r="W24">
        <v>56.0962599</v>
      </c>
      <c r="X24">
        <v>57.095926400000003</v>
      </c>
      <c r="Y24">
        <v>57.0794085</v>
      </c>
      <c r="Z24">
        <v>57.7628281</v>
      </c>
      <c r="AA24" t="s">
        <v>50</v>
      </c>
      <c r="AB24">
        <v>1</v>
      </c>
      <c r="AC24">
        <v>0.68205119999999997</v>
      </c>
      <c r="AD24" t="s">
        <v>44</v>
      </c>
      <c r="AE24">
        <v>0</v>
      </c>
      <c r="AJ24">
        <v>1</v>
      </c>
      <c r="AK24">
        <v>1</v>
      </c>
      <c r="AL24" t="s">
        <v>45</v>
      </c>
      <c r="AM24" t="s">
        <v>46</v>
      </c>
      <c r="AO24" t="s">
        <v>47</v>
      </c>
      <c r="AP24">
        <v>60.046968710000002</v>
      </c>
      <c r="AQ24" t="s">
        <v>48</v>
      </c>
    </row>
    <row r="25" spans="1:43" x14ac:dyDescent="0.35">
      <c r="A25">
        <v>22</v>
      </c>
      <c r="B25">
        <v>0</v>
      </c>
      <c r="C25">
        <v>22</v>
      </c>
      <c r="D25" t="s">
        <v>49</v>
      </c>
      <c r="E25">
        <v>1</v>
      </c>
      <c r="F25">
        <v>0.48618040000000001</v>
      </c>
      <c r="G25" t="s">
        <v>44</v>
      </c>
      <c r="H25">
        <v>-3</v>
      </c>
      <c r="I25">
        <v>22</v>
      </c>
      <c r="J25">
        <v>0</v>
      </c>
      <c r="K25">
        <v>22</v>
      </c>
      <c r="L25">
        <v>0</v>
      </c>
      <c r="M25">
        <v>57.779282500000001</v>
      </c>
      <c r="V25">
        <v>57.763026600000003</v>
      </c>
      <c r="W25">
        <v>57.779282500000001</v>
      </c>
      <c r="X25">
        <v>58.7795244</v>
      </c>
      <c r="Y25">
        <v>58.762833999999998</v>
      </c>
      <c r="Z25">
        <v>59.263055199999997</v>
      </c>
      <c r="AA25" t="s">
        <v>49</v>
      </c>
      <c r="AB25">
        <v>1</v>
      </c>
      <c r="AC25">
        <v>0.48618040000000001</v>
      </c>
      <c r="AD25" t="s">
        <v>44</v>
      </c>
      <c r="AE25">
        <v>-3</v>
      </c>
      <c r="AJ25">
        <v>1</v>
      </c>
      <c r="AK25">
        <v>1</v>
      </c>
      <c r="AL25" t="s">
        <v>45</v>
      </c>
      <c r="AM25" t="s">
        <v>46</v>
      </c>
      <c r="AO25" t="s">
        <v>47</v>
      </c>
      <c r="AP25">
        <v>60.046968710000002</v>
      </c>
      <c r="AQ25" t="s">
        <v>48</v>
      </c>
    </row>
    <row r="26" spans="1:43" x14ac:dyDescent="0.35">
      <c r="A26">
        <v>23</v>
      </c>
      <c r="B26">
        <v>0</v>
      </c>
      <c r="C26">
        <v>23</v>
      </c>
      <c r="D26" t="s">
        <v>50</v>
      </c>
      <c r="E26">
        <v>1</v>
      </c>
      <c r="F26">
        <v>0.74133499999999997</v>
      </c>
      <c r="G26" t="s">
        <v>44</v>
      </c>
      <c r="H26">
        <v>0</v>
      </c>
      <c r="I26">
        <v>23</v>
      </c>
      <c r="J26">
        <v>0</v>
      </c>
      <c r="K26">
        <v>23</v>
      </c>
      <c r="L26">
        <v>0</v>
      </c>
      <c r="M26">
        <v>59.279279199999998</v>
      </c>
      <c r="V26">
        <v>59.2632336</v>
      </c>
      <c r="W26">
        <v>59.279279199999998</v>
      </c>
      <c r="X26">
        <v>60.279223899999998</v>
      </c>
      <c r="Y26">
        <v>60.262592300000001</v>
      </c>
      <c r="Z26">
        <v>61.012939600000003</v>
      </c>
      <c r="AA26" t="s">
        <v>50</v>
      </c>
      <c r="AB26">
        <v>1</v>
      </c>
      <c r="AC26">
        <v>0.74133499999999997</v>
      </c>
      <c r="AD26" t="s">
        <v>44</v>
      </c>
      <c r="AE26">
        <v>0</v>
      </c>
      <c r="AJ26">
        <v>1</v>
      </c>
      <c r="AK26">
        <v>1</v>
      </c>
      <c r="AL26" t="s">
        <v>45</v>
      </c>
      <c r="AM26" t="s">
        <v>46</v>
      </c>
      <c r="AO26" t="s">
        <v>47</v>
      </c>
      <c r="AP26">
        <v>60.046968710000002</v>
      </c>
      <c r="AQ26" t="s">
        <v>48</v>
      </c>
    </row>
    <row r="27" spans="1:43" x14ac:dyDescent="0.35">
      <c r="A27">
        <v>24</v>
      </c>
      <c r="B27">
        <v>0</v>
      </c>
      <c r="C27">
        <v>24</v>
      </c>
      <c r="D27" t="s">
        <v>49</v>
      </c>
      <c r="E27">
        <v>1</v>
      </c>
      <c r="F27">
        <v>0.92325990000000002</v>
      </c>
      <c r="G27" t="s">
        <v>44</v>
      </c>
      <c r="H27">
        <v>1</v>
      </c>
      <c r="I27">
        <v>24</v>
      </c>
      <c r="J27">
        <v>0</v>
      </c>
      <c r="K27">
        <v>24</v>
      </c>
      <c r="L27">
        <v>0</v>
      </c>
      <c r="M27">
        <v>61.029210900000002</v>
      </c>
      <c r="V27">
        <v>61.013126999999997</v>
      </c>
      <c r="W27">
        <v>61.029210900000002</v>
      </c>
      <c r="X27">
        <v>62.029112099999999</v>
      </c>
      <c r="Y27">
        <v>62.012567300000001</v>
      </c>
      <c r="Z27">
        <v>62.946057400000001</v>
      </c>
      <c r="AA27" t="s">
        <v>49</v>
      </c>
      <c r="AB27">
        <v>1</v>
      </c>
      <c r="AC27">
        <v>0.92325990000000002</v>
      </c>
      <c r="AD27" t="s">
        <v>44</v>
      </c>
      <c r="AE27">
        <v>1</v>
      </c>
      <c r="AJ27">
        <v>1</v>
      </c>
      <c r="AK27">
        <v>1</v>
      </c>
      <c r="AL27" t="s">
        <v>45</v>
      </c>
      <c r="AM27" t="s">
        <v>46</v>
      </c>
      <c r="AO27" t="s">
        <v>47</v>
      </c>
      <c r="AP27">
        <v>60.046968710000002</v>
      </c>
      <c r="AQ27" t="s">
        <v>48</v>
      </c>
    </row>
    <row r="28" spans="1:43" x14ac:dyDescent="0.35">
      <c r="A28">
        <v>25</v>
      </c>
      <c r="B28">
        <v>0</v>
      </c>
      <c r="C28">
        <v>25</v>
      </c>
      <c r="D28" t="s">
        <v>49</v>
      </c>
      <c r="E28">
        <v>1</v>
      </c>
      <c r="F28">
        <v>0.94759800000000005</v>
      </c>
      <c r="G28" t="s">
        <v>44</v>
      </c>
      <c r="H28">
        <v>-3</v>
      </c>
      <c r="I28">
        <v>25</v>
      </c>
      <c r="J28">
        <v>0</v>
      </c>
      <c r="K28">
        <v>25</v>
      </c>
      <c r="L28">
        <v>0</v>
      </c>
      <c r="M28">
        <v>62.962627699999999</v>
      </c>
      <c r="V28">
        <v>62.946249799999997</v>
      </c>
      <c r="W28">
        <v>62.962627699999999</v>
      </c>
      <c r="X28">
        <v>63.962540699999998</v>
      </c>
      <c r="Y28">
        <v>63.9458518</v>
      </c>
      <c r="Z28">
        <v>64.895876799999996</v>
      </c>
      <c r="AA28" t="s">
        <v>49</v>
      </c>
      <c r="AB28">
        <v>1</v>
      </c>
      <c r="AC28">
        <v>0.94759800000000005</v>
      </c>
      <c r="AD28" t="s">
        <v>44</v>
      </c>
      <c r="AE28">
        <v>-3</v>
      </c>
      <c r="AJ28">
        <v>1</v>
      </c>
      <c r="AK28">
        <v>1</v>
      </c>
      <c r="AL28" t="s">
        <v>45</v>
      </c>
      <c r="AM28" t="s">
        <v>46</v>
      </c>
      <c r="AO28" t="s">
        <v>47</v>
      </c>
      <c r="AP28">
        <v>60.046968710000002</v>
      </c>
      <c r="AQ28" t="s">
        <v>48</v>
      </c>
    </row>
    <row r="29" spans="1:43" x14ac:dyDescent="0.35">
      <c r="A29">
        <v>26</v>
      </c>
      <c r="B29">
        <v>0</v>
      </c>
      <c r="C29">
        <v>26</v>
      </c>
      <c r="D29" t="s">
        <v>50</v>
      </c>
      <c r="E29">
        <v>1</v>
      </c>
      <c r="F29">
        <v>0.56293360000000003</v>
      </c>
      <c r="G29" t="s">
        <v>44</v>
      </c>
      <c r="H29">
        <v>0</v>
      </c>
      <c r="I29">
        <v>26</v>
      </c>
      <c r="J29">
        <v>0</v>
      </c>
      <c r="K29">
        <v>26</v>
      </c>
      <c r="L29">
        <v>0</v>
      </c>
      <c r="M29">
        <v>64.912373799999997</v>
      </c>
      <c r="V29">
        <v>64.896034499999999</v>
      </c>
      <c r="W29">
        <v>64.912373799999997</v>
      </c>
      <c r="X29">
        <v>65.912367900000007</v>
      </c>
      <c r="Y29">
        <v>65.895886599999997</v>
      </c>
      <c r="Z29">
        <v>66.462456200000005</v>
      </c>
      <c r="AA29" t="s">
        <v>50</v>
      </c>
      <c r="AB29">
        <v>1</v>
      </c>
      <c r="AC29">
        <v>0.56293360000000003</v>
      </c>
      <c r="AD29" t="s">
        <v>44</v>
      </c>
      <c r="AE29">
        <v>0</v>
      </c>
      <c r="AJ29">
        <v>1</v>
      </c>
      <c r="AK29">
        <v>1</v>
      </c>
      <c r="AL29" t="s">
        <v>45</v>
      </c>
      <c r="AM29" t="s">
        <v>46</v>
      </c>
      <c r="AO29" t="s">
        <v>47</v>
      </c>
      <c r="AP29">
        <v>60.046968710000002</v>
      </c>
      <c r="AQ29" t="s">
        <v>48</v>
      </c>
    </row>
    <row r="30" spans="1:43" x14ac:dyDescent="0.35">
      <c r="A30">
        <v>27</v>
      </c>
      <c r="B30">
        <v>0</v>
      </c>
      <c r="C30">
        <v>27</v>
      </c>
      <c r="D30" t="s">
        <v>49</v>
      </c>
      <c r="E30">
        <v>1</v>
      </c>
      <c r="F30">
        <v>0.82625839999999995</v>
      </c>
      <c r="G30" t="s">
        <v>44</v>
      </c>
      <c r="H30">
        <v>2</v>
      </c>
      <c r="I30">
        <v>27</v>
      </c>
      <c r="J30">
        <v>0</v>
      </c>
      <c r="K30">
        <v>27</v>
      </c>
      <c r="L30">
        <v>0</v>
      </c>
      <c r="M30">
        <v>66.478730200000001</v>
      </c>
      <c r="V30">
        <v>66.462649099999993</v>
      </c>
      <c r="W30">
        <v>66.478730200000001</v>
      </c>
      <c r="X30">
        <v>67.478846099999998</v>
      </c>
      <c r="Y30">
        <v>67.462349099999997</v>
      </c>
      <c r="Z30">
        <v>68.295736000000005</v>
      </c>
      <c r="AA30" t="s">
        <v>49</v>
      </c>
      <c r="AB30">
        <v>1</v>
      </c>
      <c r="AC30">
        <v>0.82625839999999995</v>
      </c>
      <c r="AD30" t="s">
        <v>44</v>
      </c>
      <c r="AE30">
        <v>2</v>
      </c>
      <c r="AJ30">
        <v>1</v>
      </c>
      <c r="AK30">
        <v>1</v>
      </c>
      <c r="AL30" t="s">
        <v>45</v>
      </c>
      <c r="AM30" t="s">
        <v>46</v>
      </c>
      <c r="AO30" t="s">
        <v>47</v>
      </c>
      <c r="AP30">
        <v>60.046968710000002</v>
      </c>
      <c r="AQ30" t="s">
        <v>48</v>
      </c>
    </row>
    <row r="31" spans="1:43" x14ac:dyDescent="0.35">
      <c r="A31">
        <v>28</v>
      </c>
      <c r="B31">
        <v>0</v>
      </c>
      <c r="C31">
        <v>28</v>
      </c>
      <c r="D31" t="s">
        <v>50</v>
      </c>
      <c r="E31">
        <v>1</v>
      </c>
      <c r="F31">
        <v>0.64299899999999999</v>
      </c>
      <c r="G31" t="s">
        <v>44</v>
      </c>
      <c r="H31">
        <v>0</v>
      </c>
      <c r="I31">
        <v>28</v>
      </c>
      <c r="J31">
        <v>0</v>
      </c>
      <c r="K31">
        <v>28</v>
      </c>
      <c r="L31">
        <v>0</v>
      </c>
      <c r="M31">
        <v>68.312160000000006</v>
      </c>
      <c r="V31">
        <v>68.295890999999997</v>
      </c>
      <c r="W31">
        <v>68.312160000000006</v>
      </c>
      <c r="X31">
        <v>69.312023499999995</v>
      </c>
      <c r="Y31">
        <v>69.295361200000002</v>
      </c>
      <c r="Z31">
        <v>69.945929399999997</v>
      </c>
      <c r="AA31" t="s">
        <v>50</v>
      </c>
      <c r="AB31">
        <v>1</v>
      </c>
      <c r="AC31">
        <v>0.64299899999999999</v>
      </c>
      <c r="AD31" t="s">
        <v>44</v>
      </c>
      <c r="AE31">
        <v>0</v>
      </c>
      <c r="AJ31">
        <v>1</v>
      </c>
      <c r="AK31">
        <v>1</v>
      </c>
      <c r="AL31" t="s">
        <v>45</v>
      </c>
      <c r="AM31" t="s">
        <v>46</v>
      </c>
      <c r="AO31" t="s">
        <v>47</v>
      </c>
      <c r="AP31">
        <v>60.046968710000002</v>
      </c>
      <c r="AQ31" t="s">
        <v>48</v>
      </c>
    </row>
    <row r="32" spans="1:43" x14ac:dyDescent="0.35">
      <c r="A32">
        <v>29</v>
      </c>
      <c r="B32">
        <v>0</v>
      </c>
      <c r="C32">
        <v>29</v>
      </c>
      <c r="D32" t="s">
        <v>50</v>
      </c>
      <c r="E32">
        <v>1</v>
      </c>
      <c r="F32">
        <v>0.47051379999999998</v>
      </c>
      <c r="G32" t="s">
        <v>44</v>
      </c>
      <c r="H32">
        <v>0</v>
      </c>
      <c r="I32">
        <v>29</v>
      </c>
      <c r="J32">
        <v>0</v>
      </c>
      <c r="K32">
        <v>29</v>
      </c>
      <c r="L32">
        <v>0</v>
      </c>
      <c r="M32">
        <v>69.962054699999996</v>
      </c>
      <c r="V32">
        <v>69.946110700000006</v>
      </c>
      <c r="W32">
        <v>69.962054699999996</v>
      </c>
      <c r="X32">
        <v>70.962226999999999</v>
      </c>
      <c r="Y32">
        <v>70.945479300000002</v>
      </c>
      <c r="Z32">
        <v>71.429174799999998</v>
      </c>
      <c r="AA32" t="s">
        <v>50</v>
      </c>
      <c r="AB32">
        <v>1</v>
      </c>
      <c r="AC32">
        <v>0.47051379999999998</v>
      </c>
      <c r="AD32" t="s">
        <v>44</v>
      </c>
      <c r="AE32">
        <v>0</v>
      </c>
      <c r="AJ32">
        <v>1</v>
      </c>
      <c r="AK32">
        <v>1</v>
      </c>
      <c r="AL32" t="s">
        <v>45</v>
      </c>
      <c r="AM32" t="s">
        <v>46</v>
      </c>
      <c r="AO32" t="s">
        <v>47</v>
      </c>
      <c r="AP32">
        <v>60.046968710000002</v>
      </c>
      <c r="AQ32" t="s">
        <v>48</v>
      </c>
    </row>
    <row r="33" spans="1:43" x14ac:dyDescent="0.35">
      <c r="A33">
        <v>30</v>
      </c>
      <c r="B33">
        <v>0</v>
      </c>
      <c r="C33">
        <v>30</v>
      </c>
      <c r="D33" t="s">
        <v>50</v>
      </c>
      <c r="E33">
        <v>0</v>
      </c>
      <c r="F33">
        <v>0.93367549999999999</v>
      </c>
      <c r="G33" t="s">
        <v>44</v>
      </c>
      <c r="H33">
        <v>2</v>
      </c>
      <c r="I33">
        <v>30</v>
      </c>
      <c r="J33">
        <v>0</v>
      </c>
      <c r="K33">
        <v>30</v>
      </c>
      <c r="L33">
        <v>0</v>
      </c>
      <c r="M33">
        <v>71.445469200000005</v>
      </c>
      <c r="V33">
        <v>71.429352699999995</v>
      </c>
      <c r="W33">
        <v>71.445469200000005</v>
      </c>
      <c r="X33">
        <v>72.445470900000004</v>
      </c>
      <c r="Y33">
        <v>72.428630799999993</v>
      </c>
      <c r="Z33">
        <v>73.378945700000003</v>
      </c>
      <c r="AA33" t="s">
        <v>50</v>
      </c>
      <c r="AB33">
        <v>0</v>
      </c>
      <c r="AC33">
        <v>0.93367549999999999</v>
      </c>
      <c r="AD33" t="s">
        <v>44</v>
      </c>
      <c r="AE33">
        <v>2</v>
      </c>
      <c r="AJ33">
        <v>1</v>
      </c>
      <c r="AK33">
        <v>1</v>
      </c>
      <c r="AL33" t="s">
        <v>45</v>
      </c>
      <c r="AM33" t="s">
        <v>46</v>
      </c>
      <c r="AO33" t="s">
        <v>47</v>
      </c>
      <c r="AP33">
        <v>60.046968710000002</v>
      </c>
      <c r="AQ33" t="s">
        <v>48</v>
      </c>
    </row>
    <row r="34" spans="1:43" x14ac:dyDescent="0.35">
      <c r="A34">
        <v>31</v>
      </c>
      <c r="B34">
        <v>0</v>
      </c>
      <c r="C34">
        <v>31</v>
      </c>
      <c r="D34" t="s">
        <v>50</v>
      </c>
      <c r="E34">
        <v>1</v>
      </c>
      <c r="F34">
        <v>0.48809419999999998</v>
      </c>
      <c r="G34" t="s">
        <v>44</v>
      </c>
      <c r="H34">
        <v>0</v>
      </c>
      <c r="I34">
        <v>31</v>
      </c>
      <c r="J34">
        <v>0</v>
      </c>
      <c r="K34">
        <v>31</v>
      </c>
      <c r="L34">
        <v>0</v>
      </c>
      <c r="M34">
        <v>73.395268200000004</v>
      </c>
      <c r="V34">
        <v>73.379108500000001</v>
      </c>
      <c r="W34">
        <v>73.395268200000004</v>
      </c>
      <c r="X34">
        <v>74.395539099999993</v>
      </c>
      <c r="Y34">
        <v>74.378748200000004</v>
      </c>
      <c r="Z34">
        <v>74.879022899999995</v>
      </c>
      <c r="AA34" t="s">
        <v>50</v>
      </c>
      <c r="AB34">
        <v>1</v>
      </c>
      <c r="AC34">
        <v>0.48809419999999998</v>
      </c>
      <c r="AD34" t="s">
        <v>44</v>
      </c>
      <c r="AE34">
        <v>0</v>
      </c>
      <c r="AJ34">
        <v>1</v>
      </c>
      <c r="AK34">
        <v>1</v>
      </c>
      <c r="AL34" t="s">
        <v>45</v>
      </c>
      <c r="AM34" t="s">
        <v>46</v>
      </c>
      <c r="AO34" t="s">
        <v>47</v>
      </c>
      <c r="AP34">
        <v>60.046968710000002</v>
      </c>
      <c r="AQ34" t="s">
        <v>48</v>
      </c>
    </row>
    <row r="35" spans="1:43" x14ac:dyDescent="0.35">
      <c r="A35">
        <v>32</v>
      </c>
      <c r="B35">
        <v>0</v>
      </c>
      <c r="C35">
        <v>32</v>
      </c>
      <c r="D35" t="s">
        <v>50</v>
      </c>
      <c r="E35">
        <v>1</v>
      </c>
      <c r="F35">
        <v>0.75654679999999996</v>
      </c>
      <c r="G35" t="s">
        <v>44</v>
      </c>
      <c r="H35">
        <v>0</v>
      </c>
      <c r="I35">
        <v>32</v>
      </c>
      <c r="J35">
        <v>0</v>
      </c>
      <c r="K35">
        <v>32</v>
      </c>
      <c r="L35">
        <v>0</v>
      </c>
      <c r="M35">
        <v>74.895279599999995</v>
      </c>
      <c r="V35">
        <v>74.879225300000002</v>
      </c>
      <c r="W35">
        <v>74.895279599999995</v>
      </c>
      <c r="X35">
        <v>75.895248499999994</v>
      </c>
      <c r="Y35">
        <v>75.878389999999996</v>
      </c>
      <c r="Z35">
        <v>76.645657900000003</v>
      </c>
      <c r="AA35" t="s">
        <v>50</v>
      </c>
      <c r="AB35">
        <v>1</v>
      </c>
      <c r="AC35">
        <v>0.75654679999999996</v>
      </c>
      <c r="AD35" t="s">
        <v>44</v>
      </c>
      <c r="AE35">
        <v>0</v>
      </c>
      <c r="AJ35">
        <v>1</v>
      </c>
      <c r="AK35">
        <v>1</v>
      </c>
      <c r="AL35" t="s">
        <v>45</v>
      </c>
      <c r="AM35" t="s">
        <v>46</v>
      </c>
      <c r="AO35" t="s">
        <v>47</v>
      </c>
      <c r="AP35">
        <v>60.046968710000002</v>
      </c>
      <c r="AQ35" t="s">
        <v>48</v>
      </c>
    </row>
    <row r="36" spans="1:43" x14ac:dyDescent="0.35">
      <c r="A36">
        <v>33</v>
      </c>
      <c r="B36">
        <v>0</v>
      </c>
      <c r="C36">
        <v>33</v>
      </c>
      <c r="D36" t="s">
        <v>50</v>
      </c>
      <c r="E36">
        <v>1</v>
      </c>
      <c r="F36">
        <v>0.64932440000000002</v>
      </c>
      <c r="G36" t="s">
        <v>44</v>
      </c>
      <c r="H36">
        <v>0</v>
      </c>
      <c r="I36">
        <v>33</v>
      </c>
      <c r="J36">
        <v>0</v>
      </c>
      <c r="K36">
        <v>33</v>
      </c>
      <c r="L36">
        <v>0</v>
      </c>
      <c r="M36">
        <v>76.661816400000006</v>
      </c>
      <c r="V36">
        <v>76.645837900000004</v>
      </c>
      <c r="W36">
        <v>76.661816400000006</v>
      </c>
      <c r="X36">
        <v>77.661850200000003</v>
      </c>
      <c r="Y36">
        <v>77.645228399999993</v>
      </c>
      <c r="Z36">
        <v>78.312089400000005</v>
      </c>
      <c r="AA36" t="s">
        <v>50</v>
      </c>
      <c r="AB36">
        <v>1</v>
      </c>
      <c r="AC36">
        <v>0.64932440000000002</v>
      </c>
      <c r="AD36" t="s">
        <v>44</v>
      </c>
      <c r="AE36">
        <v>0</v>
      </c>
      <c r="AJ36">
        <v>1</v>
      </c>
      <c r="AK36">
        <v>1</v>
      </c>
      <c r="AL36" t="s">
        <v>45</v>
      </c>
      <c r="AM36" t="s">
        <v>46</v>
      </c>
      <c r="AO36" t="s">
        <v>47</v>
      </c>
      <c r="AP36">
        <v>60.046968710000002</v>
      </c>
      <c r="AQ36" t="s">
        <v>48</v>
      </c>
    </row>
    <row r="37" spans="1:43" x14ac:dyDescent="0.35">
      <c r="A37">
        <v>34</v>
      </c>
      <c r="B37">
        <v>0</v>
      </c>
      <c r="C37">
        <v>34</v>
      </c>
      <c r="D37" t="s">
        <v>49</v>
      </c>
      <c r="E37">
        <v>1</v>
      </c>
      <c r="F37">
        <v>0.58307580000000003</v>
      </c>
      <c r="G37" t="s">
        <v>44</v>
      </c>
      <c r="H37">
        <v>-5</v>
      </c>
      <c r="I37">
        <v>34</v>
      </c>
      <c r="J37">
        <v>0</v>
      </c>
      <c r="K37">
        <v>34</v>
      </c>
      <c r="L37">
        <v>0</v>
      </c>
      <c r="M37">
        <v>78.328418600000006</v>
      </c>
      <c r="V37">
        <v>78.312305699999996</v>
      </c>
      <c r="W37">
        <v>78.328418600000006</v>
      </c>
      <c r="X37">
        <v>79.328434599999994</v>
      </c>
      <c r="Y37">
        <v>79.311776100000003</v>
      </c>
      <c r="Z37">
        <v>79.911887199999995</v>
      </c>
      <c r="AA37" t="s">
        <v>49</v>
      </c>
      <c r="AB37">
        <v>1</v>
      </c>
      <c r="AC37">
        <v>0.58307580000000003</v>
      </c>
      <c r="AD37" t="s">
        <v>44</v>
      </c>
      <c r="AE37">
        <v>-5</v>
      </c>
      <c r="AJ37">
        <v>1</v>
      </c>
      <c r="AK37">
        <v>1</v>
      </c>
      <c r="AL37" t="s">
        <v>45</v>
      </c>
      <c r="AM37" t="s">
        <v>46</v>
      </c>
      <c r="AO37" t="s">
        <v>47</v>
      </c>
      <c r="AP37">
        <v>60.046968710000002</v>
      </c>
      <c r="AQ37" t="s">
        <v>48</v>
      </c>
    </row>
    <row r="38" spans="1:43" x14ac:dyDescent="0.35">
      <c r="A38">
        <v>35</v>
      </c>
      <c r="B38">
        <v>0</v>
      </c>
      <c r="C38">
        <v>35</v>
      </c>
      <c r="D38" t="s">
        <v>50</v>
      </c>
      <c r="E38">
        <v>1</v>
      </c>
      <c r="F38">
        <v>0.56515059999999995</v>
      </c>
      <c r="G38" t="s">
        <v>44</v>
      </c>
      <c r="H38">
        <v>0</v>
      </c>
      <c r="I38">
        <v>35</v>
      </c>
      <c r="J38">
        <v>0</v>
      </c>
      <c r="K38">
        <v>35</v>
      </c>
      <c r="L38">
        <v>0</v>
      </c>
      <c r="M38">
        <v>79.928197900000001</v>
      </c>
      <c r="V38">
        <v>79.912068000000005</v>
      </c>
      <c r="W38">
        <v>79.928197900000001</v>
      </c>
      <c r="X38">
        <v>80.928378800000004</v>
      </c>
      <c r="Y38">
        <v>80.911757399999999</v>
      </c>
      <c r="Z38">
        <v>81.478566400000005</v>
      </c>
      <c r="AA38" t="s">
        <v>50</v>
      </c>
      <c r="AB38">
        <v>1</v>
      </c>
      <c r="AC38">
        <v>0.56515059999999995</v>
      </c>
      <c r="AD38" t="s">
        <v>44</v>
      </c>
      <c r="AE38">
        <v>0</v>
      </c>
      <c r="AJ38">
        <v>1</v>
      </c>
      <c r="AK38">
        <v>1</v>
      </c>
      <c r="AL38" t="s">
        <v>45</v>
      </c>
      <c r="AM38" t="s">
        <v>46</v>
      </c>
      <c r="AO38" t="s">
        <v>47</v>
      </c>
      <c r="AP38">
        <v>60.046968710000002</v>
      </c>
      <c r="AQ38" t="s">
        <v>48</v>
      </c>
    </row>
    <row r="39" spans="1:43" x14ac:dyDescent="0.35">
      <c r="A39">
        <v>36</v>
      </c>
      <c r="B39">
        <v>0</v>
      </c>
      <c r="C39">
        <v>36</v>
      </c>
      <c r="D39" t="s">
        <v>50</v>
      </c>
      <c r="E39">
        <v>1</v>
      </c>
      <c r="F39">
        <v>0.43742959999999997</v>
      </c>
      <c r="G39" t="s">
        <v>44</v>
      </c>
      <c r="H39">
        <v>0</v>
      </c>
      <c r="I39">
        <v>36</v>
      </c>
      <c r="J39">
        <v>0</v>
      </c>
      <c r="K39">
        <v>36</v>
      </c>
      <c r="L39">
        <v>0</v>
      </c>
      <c r="M39">
        <v>81.494934900000004</v>
      </c>
      <c r="V39">
        <v>81.478732300000004</v>
      </c>
      <c r="W39">
        <v>81.494934900000004</v>
      </c>
      <c r="X39">
        <v>82.494928400000006</v>
      </c>
      <c r="Y39">
        <v>82.478250299999999</v>
      </c>
      <c r="Z39">
        <v>82.928403700000004</v>
      </c>
      <c r="AA39" t="s">
        <v>50</v>
      </c>
      <c r="AB39">
        <v>1</v>
      </c>
      <c r="AC39">
        <v>0.43742959999999997</v>
      </c>
      <c r="AD39" t="s">
        <v>44</v>
      </c>
      <c r="AE39">
        <v>0</v>
      </c>
      <c r="AJ39">
        <v>1</v>
      </c>
      <c r="AK39">
        <v>1</v>
      </c>
      <c r="AL39" t="s">
        <v>45</v>
      </c>
      <c r="AM39" t="s">
        <v>46</v>
      </c>
      <c r="AO39" t="s">
        <v>47</v>
      </c>
      <c r="AP39">
        <v>60.046968710000002</v>
      </c>
      <c r="AQ39" t="s">
        <v>48</v>
      </c>
    </row>
    <row r="40" spans="1:43" x14ac:dyDescent="0.35">
      <c r="A40">
        <v>37</v>
      </c>
      <c r="B40">
        <v>0</v>
      </c>
      <c r="C40">
        <v>37</v>
      </c>
      <c r="D40" t="s">
        <v>49</v>
      </c>
      <c r="E40">
        <v>0</v>
      </c>
      <c r="F40">
        <v>0.81180940000000001</v>
      </c>
      <c r="G40" t="s">
        <v>44</v>
      </c>
      <c r="H40">
        <v>0</v>
      </c>
      <c r="I40">
        <v>37</v>
      </c>
      <c r="J40">
        <v>0</v>
      </c>
      <c r="K40">
        <v>37</v>
      </c>
      <c r="L40">
        <v>0</v>
      </c>
      <c r="M40">
        <v>82.944674199999994</v>
      </c>
      <c r="V40">
        <v>82.928560300000001</v>
      </c>
      <c r="W40">
        <v>82.944674199999994</v>
      </c>
      <c r="X40">
        <v>83.944851299999996</v>
      </c>
      <c r="Y40">
        <v>83.928135299999994</v>
      </c>
      <c r="Z40">
        <v>84.745170700000003</v>
      </c>
      <c r="AA40" t="s">
        <v>49</v>
      </c>
      <c r="AB40">
        <v>0</v>
      </c>
      <c r="AC40">
        <v>0.81180940000000001</v>
      </c>
      <c r="AD40" t="s">
        <v>44</v>
      </c>
      <c r="AE40">
        <v>0</v>
      </c>
      <c r="AJ40">
        <v>1</v>
      </c>
      <c r="AK40">
        <v>1</v>
      </c>
      <c r="AL40" t="s">
        <v>45</v>
      </c>
      <c r="AM40" t="s">
        <v>46</v>
      </c>
      <c r="AO40" t="s">
        <v>47</v>
      </c>
      <c r="AP40">
        <v>60.046968710000002</v>
      </c>
      <c r="AQ40" t="s">
        <v>48</v>
      </c>
    </row>
    <row r="41" spans="1:43" x14ac:dyDescent="0.35">
      <c r="A41">
        <v>38</v>
      </c>
      <c r="B41">
        <v>0</v>
      </c>
      <c r="C41">
        <v>38</v>
      </c>
      <c r="D41" t="s">
        <v>49</v>
      </c>
      <c r="E41">
        <v>1</v>
      </c>
      <c r="F41">
        <v>0.72054589999999996</v>
      </c>
      <c r="G41" t="s">
        <v>44</v>
      </c>
      <c r="H41">
        <v>-3</v>
      </c>
      <c r="I41">
        <v>38</v>
      </c>
      <c r="J41">
        <v>0</v>
      </c>
      <c r="K41">
        <v>38</v>
      </c>
      <c r="L41">
        <v>0</v>
      </c>
      <c r="M41">
        <v>84.761497800000001</v>
      </c>
      <c r="V41">
        <v>84.745345700000001</v>
      </c>
      <c r="W41">
        <v>84.761497800000001</v>
      </c>
      <c r="X41">
        <v>85.761435000000006</v>
      </c>
      <c r="Y41">
        <v>85.7448744</v>
      </c>
      <c r="Z41">
        <v>86.478439899999998</v>
      </c>
      <c r="AA41" t="s">
        <v>49</v>
      </c>
      <c r="AB41">
        <v>1</v>
      </c>
      <c r="AC41">
        <v>0.72054589999999996</v>
      </c>
      <c r="AD41" t="s">
        <v>44</v>
      </c>
      <c r="AE41">
        <v>-3</v>
      </c>
      <c r="AJ41">
        <v>1</v>
      </c>
      <c r="AK41">
        <v>1</v>
      </c>
      <c r="AL41" t="s">
        <v>45</v>
      </c>
      <c r="AM41" t="s">
        <v>46</v>
      </c>
      <c r="AO41" t="s">
        <v>47</v>
      </c>
      <c r="AP41">
        <v>60.046968710000002</v>
      </c>
      <c r="AQ41" t="s">
        <v>48</v>
      </c>
    </row>
    <row r="42" spans="1:43" x14ac:dyDescent="0.35">
      <c r="A42">
        <v>39</v>
      </c>
      <c r="B42">
        <v>0</v>
      </c>
      <c r="C42">
        <v>39</v>
      </c>
      <c r="D42" t="s">
        <v>49</v>
      </c>
      <c r="E42">
        <v>1</v>
      </c>
      <c r="F42">
        <v>0.7917978</v>
      </c>
      <c r="G42" t="s">
        <v>44</v>
      </c>
      <c r="H42">
        <v>-2</v>
      </c>
      <c r="I42">
        <v>39</v>
      </c>
      <c r="J42">
        <v>0</v>
      </c>
      <c r="K42">
        <v>39</v>
      </c>
      <c r="L42">
        <v>0</v>
      </c>
      <c r="M42">
        <v>86.494489799999997</v>
      </c>
      <c r="V42">
        <v>86.478648199999995</v>
      </c>
      <c r="W42">
        <v>86.494489799999997</v>
      </c>
      <c r="X42">
        <v>87.4945472</v>
      </c>
      <c r="Y42">
        <v>87.478019700000004</v>
      </c>
      <c r="Z42">
        <v>88.278138600000005</v>
      </c>
      <c r="AA42" t="s">
        <v>49</v>
      </c>
      <c r="AB42">
        <v>1</v>
      </c>
      <c r="AC42">
        <v>0.7917978</v>
      </c>
      <c r="AD42" t="s">
        <v>44</v>
      </c>
      <c r="AE42">
        <v>-2</v>
      </c>
      <c r="AJ42">
        <v>1</v>
      </c>
      <c r="AK42">
        <v>1</v>
      </c>
      <c r="AL42" t="s">
        <v>45</v>
      </c>
      <c r="AM42" t="s">
        <v>46</v>
      </c>
      <c r="AO42" t="s">
        <v>47</v>
      </c>
      <c r="AP42">
        <v>60.046968710000002</v>
      </c>
      <c r="AQ42" t="s">
        <v>48</v>
      </c>
    </row>
    <row r="43" spans="1:43" x14ac:dyDescent="0.35">
      <c r="A43">
        <v>40</v>
      </c>
      <c r="B43">
        <v>0</v>
      </c>
      <c r="C43">
        <v>40</v>
      </c>
      <c r="D43" t="s">
        <v>49</v>
      </c>
      <c r="E43">
        <v>1</v>
      </c>
      <c r="F43">
        <v>0.6157475</v>
      </c>
      <c r="G43" t="s">
        <v>44</v>
      </c>
      <c r="H43">
        <v>-5</v>
      </c>
      <c r="I43">
        <v>40</v>
      </c>
      <c r="J43">
        <v>0</v>
      </c>
      <c r="K43">
        <v>40</v>
      </c>
      <c r="L43">
        <v>0</v>
      </c>
      <c r="M43">
        <v>88.294755899999998</v>
      </c>
      <c r="V43">
        <v>88.278340600000007</v>
      </c>
      <c r="W43">
        <v>88.294755899999998</v>
      </c>
      <c r="X43">
        <v>89.294681199999999</v>
      </c>
      <c r="Y43">
        <v>89.277935799999995</v>
      </c>
      <c r="Z43">
        <v>89.895107899999999</v>
      </c>
      <c r="AA43" t="s">
        <v>49</v>
      </c>
      <c r="AB43">
        <v>1</v>
      </c>
      <c r="AC43">
        <v>0.6157475</v>
      </c>
      <c r="AD43" t="s">
        <v>44</v>
      </c>
      <c r="AE43">
        <v>-5</v>
      </c>
      <c r="AJ43">
        <v>1</v>
      </c>
      <c r="AK43">
        <v>1</v>
      </c>
      <c r="AL43" t="s">
        <v>45</v>
      </c>
      <c r="AM43" t="s">
        <v>46</v>
      </c>
      <c r="AO43" t="s">
        <v>47</v>
      </c>
      <c r="AP43">
        <v>60.046968710000002</v>
      </c>
      <c r="AQ43" t="s">
        <v>48</v>
      </c>
    </row>
    <row r="44" spans="1:43" x14ac:dyDescent="0.35">
      <c r="A44">
        <v>41</v>
      </c>
      <c r="B44">
        <v>0</v>
      </c>
      <c r="C44">
        <v>41</v>
      </c>
      <c r="D44" t="s">
        <v>49</v>
      </c>
      <c r="E44">
        <v>0</v>
      </c>
      <c r="F44">
        <v>0.55481440000000004</v>
      </c>
      <c r="G44" t="s">
        <v>44</v>
      </c>
      <c r="H44">
        <v>0</v>
      </c>
      <c r="I44">
        <v>41</v>
      </c>
      <c r="J44">
        <v>0</v>
      </c>
      <c r="K44">
        <v>41</v>
      </c>
      <c r="L44">
        <v>0</v>
      </c>
      <c r="M44">
        <v>89.911191299999999</v>
      </c>
      <c r="V44">
        <v>89.895319299999997</v>
      </c>
      <c r="W44">
        <v>89.911191299999999</v>
      </c>
      <c r="X44">
        <v>90.911058400000002</v>
      </c>
      <c r="Y44">
        <v>90.894413400000005</v>
      </c>
      <c r="Z44">
        <v>91.461501299999995</v>
      </c>
      <c r="AA44" t="s">
        <v>49</v>
      </c>
      <c r="AB44">
        <v>0</v>
      </c>
      <c r="AC44">
        <v>0.55481440000000004</v>
      </c>
      <c r="AD44" t="s">
        <v>44</v>
      </c>
      <c r="AE44">
        <v>0</v>
      </c>
      <c r="AJ44">
        <v>1</v>
      </c>
      <c r="AK44">
        <v>1</v>
      </c>
      <c r="AL44" t="s">
        <v>45</v>
      </c>
      <c r="AM44" t="s">
        <v>46</v>
      </c>
      <c r="AO44" t="s">
        <v>47</v>
      </c>
      <c r="AP44">
        <v>60.046968710000002</v>
      </c>
      <c r="AQ44" t="s">
        <v>48</v>
      </c>
    </row>
    <row r="45" spans="1:43" x14ac:dyDescent="0.35">
      <c r="A45">
        <v>42</v>
      </c>
      <c r="B45">
        <v>0</v>
      </c>
      <c r="C45">
        <v>42</v>
      </c>
      <c r="D45" t="s">
        <v>49</v>
      </c>
      <c r="E45">
        <v>1</v>
      </c>
      <c r="F45">
        <v>0.55478620000000001</v>
      </c>
      <c r="G45" t="s">
        <v>44</v>
      </c>
      <c r="H45">
        <v>1</v>
      </c>
      <c r="I45">
        <v>42</v>
      </c>
      <c r="J45">
        <v>0</v>
      </c>
      <c r="K45">
        <v>42</v>
      </c>
      <c r="L45">
        <v>0</v>
      </c>
      <c r="M45">
        <v>91.477638999999996</v>
      </c>
      <c r="V45">
        <v>91.4616963</v>
      </c>
      <c r="W45">
        <v>91.477638999999996</v>
      </c>
      <c r="X45">
        <v>92.4777646</v>
      </c>
      <c r="Y45">
        <v>92.461314599999994</v>
      </c>
      <c r="Z45">
        <v>93.027789799999994</v>
      </c>
      <c r="AA45" t="s">
        <v>49</v>
      </c>
      <c r="AB45">
        <v>1</v>
      </c>
      <c r="AC45">
        <v>0.55478620000000001</v>
      </c>
      <c r="AD45" t="s">
        <v>44</v>
      </c>
      <c r="AE45">
        <v>1</v>
      </c>
      <c r="AJ45">
        <v>1</v>
      </c>
      <c r="AK45">
        <v>1</v>
      </c>
      <c r="AL45" t="s">
        <v>45</v>
      </c>
      <c r="AM45" t="s">
        <v>46</v>
      </c>
      <c r="AO45" t="s">
        <v>47</v>
      </c>
      <c r="AP45">
        <v>60.046968710000002</v>
      </c>
      <c r="AQ45" t="s">
        <v>48</v>
      </c>
    </row>
    <row r="46" spans="1:43" x14ac:dyDescent="0.35">
      <c r="A46">
        <v>43</v>
      </c>
      <c r="B46">
        <v>0</v>
      </c>
      <c r="C46">
        <v>43</v>
      </c>
      <c r="D46" t="s">
        <v>49</v>
      </c>
      <c r="E46">
        <v>1</v>
      </c>
      <c r="F46">
        <v>0.50607489999999999</v>
      </c>
      <c r="G46" t="s">
        <v>44</v>
      </c>
      <c r="H46">
        <v>-2</v>
      </c>
      <c r="I46">
        <v>43</v>
      </c>
      <c r="J46">
        <v>0</v>
      </c>
      <c r="K46">
        <v>43</v>
      </c>
      <c r="L46">
        <v>0</v>
      </c>
      <c r="M46">
        <v>93.044420700000003</v>
      </c>
      <c r="V46">
        <v>93.028005399999998</v>
      </c>
      <c r="W46">
        <v>93.044420700000003</v>
      </c>
      <c r="X46">
        <v>94.044427499999998</v>
      </c>
      <c r="Y46">
        <v>94.027714599999996</v>
      </c>
      <c r="Z46">
        <v>94.544679700000003</v>
      </c>
      <c r="AA46" t="s">
        <v>49</v>
      </c>
      <c r="AB46">
        <v>1</v>
      </c>
      <c r="AC46">
        <v>0.50607489999999999</v>
      </c>
      <c r="AD46" t="s">
        <v>44</v>
      </c>
      <c r="AE46">
        <v>-2</v>
      </c>
      <c r="AJ46">
        <v>1</v>
      </c>
      <c r="AK46">
        <v>1</v>
      </c>
      <c r="AL46" t="s">
        <v>45</v>
      </c>
      <c r="AM46" t="s">
        <v>46</v>
      </c>
      <c r="AO46" t="s">
        <v>47</v>
      </c>
      <c r="AP46">
        <v>60.046968710000002</v>
      </c>
      <c r="AQ46" t="s">
        <v>48</v>
      </c>
    </row>
    <row r="47" spans="1:43" x14ac:dyDescent="0.35">
      <c r="A47">
        <v>44</v>
      </c>
      <c r="B47">
        <v>0</v>
      </c>
      <c r="C47">
        <v>44</v>
      </c>
      <c r="D47" t="s">
        <v>49</v>
      </c>
      <c r="E47">
        <v>1</v>
      </c>
      <c r="F47">
        <v>0.58578870000000005</v>
      </c>
      <c r="G47" t="s">
        <v>44</v>
      </c>
      <c r="H47">
        <v>-2</v>
      </c>
      <c r="I47">
        <v>44</v>
      </c>
      <c r="J47">
        <v>0</v>
      </c>
      <c r="K47">
        <v>44</v>
      </c>
      <c r="L47">
        <v>0</v>
      </c>
      <c r="M47">
        <v>94.561049800000006</v>
      </c>
      <c r="V47">
        <v>94.544900100000007</v>
      </c>
      <c r="W47">
        <v>94.561049800000006</v>
      </c>
      <c r="X47">
        <v>95.561027499999994</v>
      </c>
      <c r="Y47">
        <v>95.544465700000003</v>
      </c>
      <c r="Z47">
        <v>96.144345799999996</v>
      </c>
      <c r="AA47" t="s">
        <v>49</v>
      </c>
      <c r="AB47">
        <v>1</v>
      </c>
      <c r="AC47">
        <v>0.58578870000000005</v>
      </c>
      <c r="AD47" t="s">
        <v>44</v>
      </c>
      <c r="AE47">
        <v>-2</v>
      </c>
      <c r="AJ47">
        <v>1</v>
      </c>
      <c r="AK47">
        <v>1</v>
      </c>
      <c r="AL47" t="s">
        <v>45</v>
      </c>
      <c r="AM47" t="s">
        <v>46</v>
      </c>
      <c r="AO47" t="s">
        <v>47</v>
      </c>
      <c r="AP47">
        <v>60.046968710000002</v>
      </c>
      <c r="AQ47" t="s">
        <v>48</v>
      </c>
    </row>
    <row r="48" spans="1:43" x14ac:dyDescent="0.35">
      <c r="A48">
        <v>45</v>
      </c>
      <c r="B48">
        <v>0</v>
      </c>
      <c r="C48">
        <v>45</v>
      </c>
      <c r="D48" t="s">
        <v>49</v>
      </c>
      <c r="E48">
        <v>0</v>
      </c>
      <c r="F48">
        <v>0.53237789999999996</v>
      </c>
      <c r="G48" t="s">
        <v>44</v>
      </c>
      <c r="H48">
        <v>0</v>
      </c>
      <c r="I48">
        <v>45</v>
      </c>
      <c r="J48">
        <v>0</v>
      </c>
      <c r="K48">
        <v>45</v>
      </c>
      <c r="L48">
        <v>0</v>
      </c>
      <c r="M48">
        <v>96.161028400000006</v>
      </c>
      <c r="V48">
        <v>96.144521600000004</v>
      </c>
      <c r="W48">
        <v>96.161028400000006</v>
      </c>
      <c r="X48">
        <v>97.160864399999994</v>
      </c>
      <c r="Y48">
        <v>97.144448199999999</v>
      </c>
      <c r="Z48">
        <v>97.677609399999994</v>
      </c>
      <c r="AA48" t="s">
        <v>49</v>
      </c>
      <c r="AB48">
        <v>0</v>
      </c>
      <c r="AC48">
        <v>0.53237789999999996</v>
      </c>
      <c r="AD48" t="s">
        <v>44</v>
      </c>
      <c r="AE48">
        <v>0</v>
      </c>
      <c r="AJ48">
        <v>1</v>
      </c>
      <c r="AK48">
        <v>1</v>
      </c>
      <c r="AL48" t="s">
        <v>45</v>
      </c>
      <c r="AM48" t="s">
        <v>46</v>
      </c>
      <c r="AO48" t="s">
        <v>47</v>
      </c>
      <c r="AP48">
        <v>60.046968710000002</v>
      </c>
      <c r="AQ48" t="s">
        <v>48</v>
      </c>
    </row>
    <row r="49" spans="1:43" x14ac:dyDescent="0.35">
      <c r="A49">
        <v>46</v>
      </c>
      <c r="B49">
        <v>0</v>
      </c>
      <c r="C49">
        <v>46</v>
      </c>
      <c r="D49" t="s">
        <v>49</v>
      </c>
      <c r="E49">
        <v>1</v>
      </c>
      <c r="F49">
        <v>0.4537332</v>
      </c>
      <c r="G49" t="s">
        <v>44</v>
      </c>
      <c r="H49">
        <v>3</v>
      </c>
      <c r="I49">
        <v>46</v>
      </c>
      <c r="J49">
        <v>0</v>
      </c>
      <c r="K49">
        <v>46</v>
      </c>
      <c r="L49">
        <v>0</v>
      </c>
      <c r="M49">
        <v>97.694054499999993</v>
      </c>
      <c r="V49">
        <v>97.677824900000005</v>
      </c>
      <c r="W49">
        <v>97.694054499999993</v>
      </c>
      <c r="X49">
        <v>98.694156500000005</v>
      </c>
      <c r="Y49">
        <v>98.677348199999997</v>
      </c>
      <c r="Z49">
        <v>99.144110499999996</v>
      </c>
      <c r="AA49" t="s">
        <v>49</v>
      </c>
      <c r="AB49">
        <v>1</v>
      </c>
      <c r="AC49">
        <v>0.4537332</v>
      </c>
      <c r="AD49" t="s">
        <v>44</v>
      </c>
      <c r="AE49">
        <v>3</v>
      </c>
      <c r="AJ49">
        <v>1</v>
      </c>
      <c r="AK49">
        <v>1</v>
      </c>
      <c r="AL49" t="s">
        <v>45</v>
      </c>
      <c r="AM49" t="s">
        <v>46</v>
      </c>
      <c r="AO49" t="s">
        <v>47</v>
      </c>
      <c r="AP49">
        <v>60.046968710000002</v>
      </c>
      <c r="AQ49" t="s">
        <v>48</v>
      </c>
    </row>
    <row r="50" spans="1:43" x14ac:dyDescent="0.35">
      <c r="A50">
        <v>47</v>
      </c>
      <c r="B50">
        <v>0</v>
      </c>
      <c r="C50">
        <v>47</v>
      </c>
      <c r="D50" t="s">
        <v>49</v>
      </c>
      <c r="E50">
        <v>1</v>
      </c>
      <c r="F50">
        <v>0.40719080000000002</v>
      </c>
      <c r="G50" t="s">
        <v>44</v>
      </c>
      <c r="H50">
        <v>-5</v>
      </c>
      <c r="I50">
        <v>47</v>
      </c>
      <c r="J50">
        <v>0</v>
      </c>
      <c r="K50">
        <v>47</v>
      </c>
      <c r="L50">
        <v>0</v>
      </c>
      <c r="M50">
        <v>99.160574800000006</v>
      </c>
      <c r="V50">
        <v>99.144284400000004</v>
      </c>
      <c r="W50">
        <v>99.160574800000006</v>
      </c>
      <c r="X50">
        <v>100.1607185</v>
      </c>
      <c r="Y50">
        <v>100.1441647</v>
      </c>
      <c r="Z50">
        <v>100.5609759</v>
      </c>
      <c r="AA50" t="s">
        <v>49</v>
      </c>
      <c r="AB50">
        <v>1</v>
      </c>
      <c r="AC50">
        <v>0.40719080000000002</v>
      </c>
      <c r="AD50" t="s">
        <v>44</v>
      </c>
      <c r="AE50">
        <v>-5</v>
      </c>
      <c r="AJ50">
        <v>1</v>
      </c>
      <c r="AK50">
        <v>1</v>
      </c>
      <c r="AL50" t="s">
        <v>45</v>
      </c>
      <c r="AM50" t="s">
        <v>46</v>
      </c>
      <c r="AO50" t="s">
        <v>47</v>
      </c>
      <c r="AP50">
        <v>60.046968710000002</v>
      </c>
      <c r="AQ50" t="s">
        <v>48</v>
      </c>
    </row>
    <row r="51" spans="1:43" x14ac:dyDescent="0.35">
      <c r="A51">
        <v>48</v>
      </c>
      <c r="B51">
        <v>0</v>
      </c>
      <c r="C51">
        <v>48</v>
      </c>
      <c r="D51" t="s">
        <v>49</v>
      </c>
      <c r="E51">
        <v>1</v>
      </c>
      <c r="F51">
        <v>0.51752940000000003</v>
      </c>
      <c r="G51" t="s">
        <v>44</v>
      </c>
      <c r="H51">
        <v>-5</v>
      </c>
      <c r="I51">
        <v>48</v>
      </c>
      <c r="J51">
        <v>0</v>
      </c>
      <c r="K51">
        <v>48</v>
      </c>
      <c r="L51">
        <v>0</v>
      </c>
      <c r="M51">
        <v>100.5771582</v>
      </c>
      <c r="V51">
        <v>100.561154</v>
      </c>
      <c r="W51">
        <v>100.5771582</v>
      </c>
      <c r="X51">
        <v>101.5773507</v>
      </c>
      <c r="Y51">
        <v>101.56073840000001</v>
      </c>
      <c r="Z51">
        <v>102.09439930000001</v>
      </c>
      <c r="AA51" t="s">
        <v>49</v>
      </c>
      <c r="AB51">
        <v>1</v>
      </c>
      <c r="AC51">
        <v>0.51752940000000003</v>
      </c>
      <c r="AD51" t="s">
        <v>44</v>
      </c>
      <c r="AE51">
        <v>-5</v>
      </c>
      <c r="AJ51">
        <v>1</v>
      </c>
      <c r="AK51">
        <v>1</v>
      </c>
      <c r="AL51" t="s">
        <v>45</v>
      </c>
      <c r="AM51" t="s">
        <v>46</v>
      </c>
      <c r="AO51" t="s">
        <v>47</v>
      </c>
      <c r="AP51">
        <v>60.046968710000002</v>
      </c>
      <c r="AQ51" t="s">
        <v>48</v>
      </c>
    </row>
    <row r="52" spans="1:43" x14ac:dyDescent="0.35">
      <c r="A52">
        <v>49</v>
      </c>
      <c r="B52">
        <v>0</v>
      </c>
      <c r="C52">
        <v>49</v>
      </c>
      <c r="D52" t="s">
        <v>49</v>
      </c>
      <c r="E52">
        <v>0</v>
      </c>
      <c r="F52">
        <v>0.43648979999999998</v>
      </c>
      <c r="G52" t="s">
        <v>44</v>
      </c>
      <c r="H52">
        <v>0</v>
      </c>
      <c r="I52">
        <v>49</v>
      </c>
      <c r="J52">
        <v>0</v>
      </c>
      <c r="K52">
        <v>49</v>
      </c>
      <c r="L52">
        <v>0</v>
      </c>
      <c r="M52">
        <v>102.1106441</v>
      </c>
      <c r="V52">
        <v>102.09457140000001</v>
      </c>
      <c r="W52">
        <v>102.1106441</v>
      </c>
      <c r="X52">
        <v>103.1108389</v>
      </c>
      <c r="Y52">
        <v>103.094082</v>
      </c>
      <c r="Z52">
        <v>103.5439839</v>
      </c>
      <c r="AA52" t="s">
        <v>49</v>
      </c>
      <c r="AB52">
        <v>0</v>
      </c>
      <c r="AC52">
        <v>0.43648979999999998</v>
      </c>
      <c r="AD52" t="s">
        <v>44</v>
      </c>
      <c r="AE52">
        <v>0</v>
      </c>
      <c r="AJ52">
        <v>1</v>
      </c>
      <c r="AK52">
        <v>1</v>
      </c>
      <c r="AL52" t="s">
        <v>45</v>
      </c>
      <c r="AM52" t="s">
        <v>46</v>
      </c>
      <c r="AO52" t="s">
        <v>47</v>
      </c>
      <c r="AP52">
        <v>60.046968710000002</v>
      </c>
      <c r="AQ52" t="s">
        <v>48</v>
      </c>
    </row>
    <row r="53" spans="1:43" x14ac:dyDescent="0.35">
      <c r="A53">
        <v>50</v>
      </c>
      <c r="B53">
        <v>0</v>
      </c>
      <c r="C53">
        <v>50</v>
      </c>
      <c r="D53" t="s">
        <v>49</v>
      </c>
      <c r="E53">
        <v>0</v>
      </c>
      <c r="F53">
        <v>0.3702762</v>
      </c>
      <c r="G53" t="s">
        <v>44</v>
      </c>
      <c r="H53">
        <v>0</v>
      </c>
      <c r="I53">
        <v>50</v>
      </c>
      <c r="J53">
        <v>0</v>
      </c>
      <c r="K53">
        <v>50</v>
      </c>
      <c r="L53">
        <v>0</v>
      </c>
      <c r="M53">
        <v>103.560518</v>
      </c>
      <c r="V53">
        <v>103.54414149999999</v>
      </c>
      <c r="W53">
        <v>103.560518</v>
      </c>
      <c r="X53">
        <v>104.5606307</v>
      </c>
      <c r="Y53">
        <v>104.5438386</v>
      </c>
      <c r="Z53">
        <v>104.92740190000001</v>
      </c>
      <c r="AA53" t="s">
        <v>49</v>
      </c>
      <c r="AB53">
        <v>0</v>
      </c>
      <c r="AC53">
        <v>0.3702762</v>
      </c>
      <c r="AD53" t="s">
        <v>44</v>
      </c>
      <c r="AE53">
        <v>0</v>
      </c>
      <c r="AJ53">
        <v>1</v>
      </c>
      <c r="AK53">
        <v>1</v>
      </c>
      <c r="AL53" t="s">
        <v>45</v>
      </c>
      <c r="AM53" t="s">
        <v>46</v>
      </c>
      <c r="AO53" t="s">
        <v>47</v>
      </c>
      <c r="AP53">
        <v>60.046968710000002</v>
      </c>
      <c r="AQ53" t="s">
        <v>48</v>
      </c>
    </row>
    <row r="54" spans="1:43" x14ac:dyDescent="0.35">
      <c r="A54">
        <v>51</v>
      </c>
      <c r="B54">
        <v>0</v>
      </c>
      <c r="C54">
        <v>51</v>
      </c>
      <c r="D54" t="s">
        <v>49</v>
      </c>
      <c r="E54">
        <v>0</v>
      </c>
      <c r="F54">
        <v>0.43051400000000001</v>
      </c>
      <c r="G54" t="s">
        <v>44</v>
      </c>
      <c r="H54">
        <v>0</v>
      </c>
      <c r="I54">
        <v>51</v>
      </c>
      <c r="J54">
        <v>0</v>
      </c>
      <c r="K54">
        <v>51</v>
      </c>
      <c r="L54">
        <v>0</v>
      </c>
      <c r="M54">
        <v>104.94378210000001</v>
      </c>
      <c r="V54">
        <v>104.927577</v>
      </c>
      <c r="W54">
        <v>104.94378210000001</v>
      </c>
      <c r="X54">
        <v>105.9438985</v>
      </c>
      <c r="Y54">
        <v>105.9272591</v>
      </c>
      <c r="Z54">
        <v>106.3605096</v>
      </c>
      <c r="AA54" t="s">
        <v>49</v>
      </c>
      <c r="AB54">
        <v>0</v>
      </c>
      <c r="AC54">
        <v>0.43051400000000001</v>
      </c>
      <c r="AD54" t="s">
        <v>44</v>
      </c>
      <c r="AE54">
        <v>0</v>
      </c>
      <c r="AJ54">
        <v>1</v>
      </c>
      <c r="AK54">
        <v>1</v>
      </c>
      <c r="AL54" t="s">
        <v>45</v>
      </c>
      <c r="AM54" t="s">
        <v>46</v>
      </c>
      <c r="AO54" t="s">
        <v>47</v>
      </c>
      <c r="AP54">
        <v>60.046968710000002</v>
      </c>
      <c r="AQ54" t="s">
        <v>48</v>
      </c>
    </row>
    <row r="55" spans="1:43" x14ac:dyDescent="0.35">
      <c r="A55">
        <v>52</v>
      </c>
      <c r="B55">
        <v>0</v>
      </c>
      <c r="C55">
        <v>52</v>
      </c>
      <c r="D55" t="s">
        <v>49</v>
      </c>
      <c r="E55">
        <v>1</v>
      </c>
      <c r="F55">
        <v>0.4065608</v>
      </c>
      <c r="G55" t="s">
        <v>44</v>
      </c>
      <c r="H55">
        <v>-2</v>
      </c>
      <c r="I55">
        <v>52</v>
      </c>
      <c r="J55">
        <v>0</v>
      </c>
      <c r="K55">
        <v>52</v>
      </c>
      <c r="L55">
        <v>0</v>
      </c>
      <c r="M55">
        <v>106.37691890000001</v>
      </c>
      <c r="V55">
        <v>106.3607052</v>
      </c>
      <c r="W55">
        <v>106.37691890000001</v>
      </c>
      <c r="X55">
        <v>107.3768748</v>
      </c>
      <c r="Y55">
        <v>107.3603107</v>
      </c>
      <c r="Z55">
        <v>107.7769804</v>
      </c>
      <c r="AA55" t="s">
        <v>49</v>
      </c>
      <c r="AB55">
        <v>1</v>
      </c>
      <c r="AC55">
        <v>0.4065608</v>
      </c>
      <c r="AD55" t="s">
        <v>44</v>
      </c>
      <c r="AE55">
        <v>-2</v>
      </c>
      <c r="AJ55">
        <v>1</v>
      </c>
      <c r="AK55">
        <v>1</v>
      </c>
      <c r="AL55" t="s">
        <v>45</v>
      </c>
      <c r="AM55" t="s">
        <v>46</v>
      </c>
      <c r="AO55" t="s">
        <v>47</v>
      </c>
      <c r="AP55">
        <v>60.046968710000002</v>
      </c>
      <c r="AQ55" t="s">
        <v>48</v>
      </c>
    </row>
    <row r="56" spans="1:43" x14ac:dyDescent="0.35">
      <c r="A56">
        <v>53</v>
      </c>
      <c r="B56">
        <v>0</v>
      </c>
      <c r="C56">
        <v>53</v>
      </c>
      <c r="D56" t="s">
        <v>49</v>
      </c>
      <c r="E56">
        <v>0</v>
      </c>
      <c r="F56">
        <v>0.36543209999999998</v>
      </c>
      <c r="G56" t="s">
        <v>44</v>
      </c>
      <c r="H56">
        <v>0</v>
      </c>
      <c r="I56">
        <v>53</v>
      </c>
      <c r="J56">
        <v>0</v>
      </c>
      <c r="K56">
        <v>53</v>
      </c>
      <c r="L56">
        <v>0</v>
      </c>
      <c r="M56">
        <v>107.7934468</v>
      </c>
      <c r="V56">
        <v>107.7771666</v>
      </c>
      <c r="W56">
        <v>107.7934468</v>
      </c>
      <c r="X56">
        <v>108.793513</v>
      </c>
      <c r="Y56">
        <v>108.77686199999999</v>
      </c>
      <c r="Z56">
        <v>109.1436616</v>
      </c>
      <c r="AA56" t="s">
        <v>49</v>
      </c>
      <c r="AB56">
        <v>0</v>
      </c>
      <c r="AC56">
        <v>0.36543209999999998</v>
      </c>
      <c r="AD56" t="s">
        <v>44</v>
      </c>
      <c r="AE56">
        <v>0</v>
      </c>
      <c r="AJ56">
        <v>1</v>
      </c>
      <c r="AK56">
        <v>1</v>
      </c>
      <c r="AL56" t="s">
        <v>45</v>
      </c>
      <c r="AM56" t="s">
        <v>46</v>
      </c>
      <c r="AO56" t="s">
        <v>47</v>
      </c>
      <c r="AP56">
        <v>60.046968710000002</v>
      </c>
      <c r="AQ56" t="s">
        <v>48</v>
      </c>
    </row>
    <row r="57" spans="1:43" x14ac:dyDescent="0.35">
      <c r="A57">
        <v>54</v>
      </c>
      <c r="B57">
        <v>0</v>
      </c>
      <c r="C57">
        <v>54</v>
      </c>
      <c r="D57" t="s">
        <v>50</v>
      </c>
      <c r="E57">
        <v>0</v>
      </c>
      <c r="F57">
        <v>0.61829829999999997</v>
      </c>
      <c r="G57" t="s">
        <v>44</v>
      </c>
      <c r="H57">
        <v>3</v>
      </c>
      <c r="I57">
        <v>54</v>
      </c>
      <c r="J57">
        <v>0</v>
      </c>
      <c r="K57">
        <v>54</v>
      </c>
      <c r="L57">
        <v>0</v>
      </c>
      <c r="M57">
        <v>109.1600385</v>
      </c>
      <c r="V57">
        <v>109.14383340000001</v>
      </c>
      <c r="W57">
        <v>109.1600385</v>
      </c>
      <c r="X57">
        <v>110.16008840000001</v>
      </c>
      <c r="Y57">
        <v>110.1434414</v>
      </c>
      <c r="Z57">
        <v>110.77688240000001</v>
      </c>
      <c r="AA57" t="s">
        <v>50</v>
      </c>
      <c r="AB57">
        <v>0</v>
      </c>
      <c r="AC57">
        <v>0.61829829999999997</v>
      </c>
      <c r="AD57" t="s">
        <v>44</v>
      </c>
      <c r="AE57">
        <v>3</v>
      </c>
      <c r="AJ57">
        <v>1</v>
      </c>
      <c r="AK57">
        <v>1</v>
      </c>
      <c r="AL57" t="s">
        <v>45</v>
      </c>
      <c r="AM57" t="s">
        <v>46</v>
      </c>
      <c r="AO57" t="s">
        <v>47</v>
      </c>
      <c r="AP57">
        <v>60.046968710000002</v>
      </c>
      <c r="AQ57" t="s">
        <v>48</v>
      </c>
    </row>
    <row r="58" spans="1:43" x14ac:dyDescent="0.35">
      <c r="A58">
        <v>55</v>
      </c>
      <c r="B58">
        <v>0</v>
      </c>
      <c r="C58">
        <v>55</v>
      </c>
      <c r="D58" t="s">
        <v>49</v>
      </c>
      <c r="E58">
        <v>1</v>
      </c>
      <c r="F58">
        <v>0.6765911</v>
      </c>
      <c r="G58" t="s">
        <v>44</v>
      </c>
      <c r="H58">
        <v>-3</v>
      </c>
      <c r="I58">
        <v>55</v>
      </c>
      <c r="J58">
        <v>0</v>
      </c>
      <c r="K58">
        <v>55</v>
      </c>
      <c r="L58">
        <v>0</v>
      </c>
      <c r="M58">
        <v>110.79339520000001</v>
      </c>
      <c r="V58">
        <v>110.7770609</v>
      </c>
      <c r="W58">
        <v>110.79339520000001</v>
      </c>
      <c r="X58">
        <v>111.79336379999999</v>
      </c>
      <c r="Y58">
        <v>111.7766889</v>
      </c>
      <c r="Z58">
        <v>112.4604023</v>
      </c>
      <c r="AA58" t="s">
        <v>49</v>
      </c>
      <c r="AB58">
        <v>1</v>
      </c>
      <c r="AC58">
        <v>0.6765911</v>
      </c>
      <c r="AD58" t="s">
        <v>44</v>
      </c>
      <c r="AE58">
        <v>-3</v>
      </c>
      <c r="AJ58">
        <v>1</v>
      </c>
      <c r="AK58">
        <v>1</v>
      </c>
      <c r="AL58" t="s">
        <v>45</v>
      </c>
      <c r="AM58" t="s">
        <v>46</v>
      </c>
      <c r="AO58" t="s">
        <v>47</v>
      </c>
      <c r="AP58">
        <v>60.046968710000002</v>
      </c>
      <c r="AQ58" t="s">
        <v>48</v>
      </c>
    </row>
    <row r="59" spans="1:43" x14ac:dyDescent="0.35">
      <c r="A59">
        <v>56</v>
      </c>
      <c r="B59">
        <v>0</v>
      </c>
      <c r="C59">
        <v>56</v>
      </c>
      <c r="D59" t="s">
        <v>49</v>
      </c>
      <c r="E59">
        <v>1</v>
      </c>
      <c r="F59">
        <v>0.57027899999999998</v>
      </c>
      <c r="G59" t="s">
        <v>44</v>
      </c>
      <c r="H59">
        <v>2</v>
      </c>
      <c r="I59">
        <v>56</v>
      </c>
      <c r="J59">
        <v>0</v>
      </c>
      <c r="K59">
        <v>56</v>
      </c>
      <c r="L59">
        <v>0</v>
      </c>
      <c r="M59">
        <v>112.47660209999999</v>
      </c>
      <c r="V59">
        <v>112.46059649999999</v>
      </c>
      <c r="W59">
        <v>112.47660209999999</v>
      </c>
      <c r="X59">
        <v>113.4765888</v>
      </c>
      <c r="Y59">
        <v>113.4599607</v>
      </c>
      <c r="Z59">
        <v>114.04369320000001</v>
      </c>
      <c r="AA59" t="s">
        <v>49</v>
      </c>
      <c r="AB59">
        <v>1</v>
      </c>
      <c r="AC59">
        <v>0.57027899999999998</v>
      </c>
      <c r="AD59" t="s">
        <v>44</v>
      </c>
      <c r="AE59">
        <v>2</v>
      </c>
      <c r="AJ59">
        <v>1</v>
      </c>
      <c r="AK59">
        <v>1</v>
      </c>
      <c r="AL59" t="s">
        <v>45</v>
      </c>
      <c r="AM59" t="s">
        <v>46</v>
      </c>
      <c r="AO59" t="s">
        <v>47</v>
      </c>
      <c r="AP59">
        <v>60.046968710000002</v>
      </c>
      <c r="AQ59" t="s">
        <v>48</v>
      </c>
    </row>
    <row r="60" spans="1:43" x14ac:dyDescent="0.35">
      <c r="A60">
        <v>57</v>
      </c>
      <c r="B60">
        <v>0</v>
      </c>
      <c r="C60">
        <v>57</v>
      </c>
      <c r="D60" t="s">
        <v>49</v>
      </c>
      <c r="E60">
        <v>1</v>
      </c>
      <c r="F60">
        <v>0.80729839999999997</v>
      </c>
      <c r="G60" t="s">
        <v>44</v>
      </c>
      <c r="H60">
        <v>3</v>
      </c>
      <c r="I60">
        <v>57</v>
      </c>
      <c r="J60">
        <v>0</v>
      </c>
      <c r="K60">
        <v>57</v>
      </c>
      <c r="L60">
        <v>0</v>
      </c>
      <c r="M60">
        <v>114.0600232</v>
      </c>
      <c r="V60">
        <v>114.0439172</v>
      </c>
      <c r="W60">
        <v>114.0600232</v>
      </c>
      <c r="X60">
        <v>115.0600187</v>
      </c>
      <c r="Y60">
        <v>115.0433877</v>
      </c>
      <c r="Z60">
        <v>115.8600991</v>
      </c>
      <c r="AA60" t="s">
        <v>49</v>
      </c>
      <c r="AB60">
        <v>1</v>
      </c>
      <c r="AC60">
        <v>0.80729839999999997</v>
      </c>
      <c r="AD60" t="s">
        <v>44</v>
      </c>
      <c r="AE60">
        <v>3</v>
      </c>
      <c r="AJ60">
        <v>1</v>
      </c>
      <c r="AK60">
        <v>1</v>
      </c>
      <c r="AL60" t="s">
        <v>45</v>
      </c>
      <c r="AM60" t="s">
        <v>46</v>
      </c>
      <c r="AO60" t="s">
        <v>47</v>
      </c>
      <c r="AP60">
        <v>60.046968710000002</v>
      </c>
      <c r="AQ60" t="s">
        <v>48</v>
      </c>
    </row>
    <row r="61" spans="1:43" x14ac:dyDescent="0.35">
      <c r="A61">
        <v>58</v>
      </c>
      <c r="B61">
        <v>0</v>
      </c>
      <c r="C61">
        <v>58</v>
      </c>
      <c r="D61" t="s">
        <v>49</v>
      </c>
      <c r="E61">
        <v>1</v>
      </c>
      <c r="F61">
        <v>0.43918889999999999</v>
      </c>
      <c r="G61" t="s">
        <v>44</v>
      </c>
      <c r="H61">
        <v>3</v>
      </c>
      <c r="I61">
        <v>58</v>
      </c>
      <c r="J61">
        <v>0</v>
      </c>
      <c r="K61">
        <v>58</v>
      </c>
      <c r="L61">
        <v>0</v>
      </c>
      <c r="M61">
        <v>115.8764517</v>
      </c>
      <c r="V61">
        <v>115.86030940000001</v>
      </c>
      <c r="W61">
        <v>115.8764517</v>
      </c>
      <c r="X61">
        <v>116.8766298</v>
      </c>
      <c r="Y61">
        <v>116.8597462</v>
      </c>
      <c r="Z61">
        <v>117.3100385</v>
      </c>
      <c r="AA61" t="s">
        <v>49</v>
      </c>
      <c r="AB61">
        <v>1</v>
      </c>
      <c r="AC61">
        <v>0.43918889999999999</v>
      </c>
      <c r="AD61" t="s">
        <v>44</v>
      </c>
      <c r="AE61">
        <v>3</v>
      </c>
      <c r="AJ61">
        <v>1</v>
      </c>
      <c r="AK61">
        <v>1</v>
      </c>
      <c r="AL61" t="s">
        <v>45</v>
      </c>
      <c r="AM61" t="s">
        <v>46</v>
      </c>
      <c r="AO61" t="s">
        <v>47</v>
      </c>
      <c r="AP61">
        <v>60.046968710000002</v>
      </c>
      <c r="AQ61" t="s">
        <v>48</v>
      </c>
    </row>
    <row r="62" spans="1:43" x14ac:dyDescent="0.35">
      <c r="A62">
        <v>59</v>
      </c>
      <c r="B62">
        <v>0</v>
      </c>
      <c r="C62">
        <v>59</v>
      </c>
      <c r="D62" t="s">
        <v>49</v>
      </c>
      <c r="E62">
        <v>1</v>
      </c>
      <c r="F62">
        <v>0.40383370000000002</v>
      </c>
      <c r="G62" t="s">
        <v>44</v>
      </c>
      <c r="H62">
        <v>-4</v>
      </c>
      <c r="I62">
        <v>59</v>
      </c>
      <c r="J62">
        <v>0</v>
      </c>
      <c r="K62">
        <v>59</v>
      </c>
      <c r="L62">
        <v>0</v>
      </c>
      <c r="M62">
        <v>117.3264484</v>
      </c>
      <c r="V62">
        <v>117.3102513</v>
      </c>
      <c r="W62">
        <v>117.3264484</v>
      </c>
      <c r="X62">
        <v>118.3263503</v>
      </c>
      <c r="Y62">
        <v>118.30961619999999</v>
      </c>
      <c r="Z62">
        <v>118.72653010000001</v>
      </c>
      <c r="AA62" t="s">
        <v>49</v>
      </c>
      <c r="AB62">
        <v>1</v>
      </c>
      <c r="AC62">
        <v>0.40383370000000002</v>
      </c>
      <c r="AD62" t="s">
        <v>44</v>
      </c>
      <c r="AE62">
        <v>-4</v>
      </c>
      <c r="AJ62">
        <v>1</v>
      </c>
      <c r="AK62">
        <v>1</v>
      </c>
      <c r="AL62" t="s">
        <v>45</v>
      </c>
      <c r="AM62" t="s">
        <v>46</v>
      </c>
      <c r="AO62" t="s">
        <v>47</v>
      </c>
      <c r="AP62">
        <v>60.046968710000002</v>
      </c>
      <c r="AQ62" t="s">
        <v>48</v>
      </c>
    </row>
    <row r="63" spans="1:43" x14ac:dyDescent="0.35">
      <c r="A63">
        <v>60</v>
      </c>
      <c r="B63">
        <v>0</v>
      </c>
      <c r="C63">
        <v>60</v>
      </c>
      <c r="D63" t="s">
        <v>49</v>
      </c>
      <c r="E63">
        <v>1</v>
      </c>
      <c r="F63">
        <v>0.47253509999999999</v>
      </c>
      <c r="G63" t="s">
        <v>44</v>
      </c>
      <c r="H63">
        <v>2</v>
      </c>
      <c r="I63">
        <v>60</v>
      </c>
      <c r="J63">
        <v>0</v>
      </c>
      <c r="K63">
        <v>60</v>
      </c>
      <c r="L63">
        <v>0</v>
      </c>
      <c r="M63">
        <v>118.74305219999999</v>
      </c>
      <c r="V63">
        <v>118.72675150000001</v>
      </c>
      <c r="W63">
        <v>118.74305219999999</v>
      </c>
      <c r="X63">
        <v>119.7430629</v>
      </c>
      <c r="Y63">
        <v>119.72633399999999</v>
      </c>
      <c r="Z63">
        <v>120.2096774</v>
      </c>
      <c r="AA63" t="s">
        <v>49</v>
      </c>
      <c r="AB63">
        <v>1</v>
      </c>
      <c r="AC63">
        <v>0.47253509999999999</v>
      </c>
      <c r="AD63" t="s">
        <v>44</v>
      </c>
      <c r="AE63">
        <v>2</v>
      </c>
      <c r="AJ63">
        <v>1</v>
      </c>
      <c r="AK63">
        <v>1</v>
      </c>
      <c r="AL63" t="s">
        <v>45</v>
      </c>
      <c r="AM63" t="s">
        <v>46</v>
      </c>
      <c r="AO63" t="s">
        <v>47</v>
      </c>
      <c r="AP63">
        <v>60.046968710000002</v>
      </c>
      <c r="AQ63" t="s">
        <v>48</v>
      </c>
    </row>
    <row r="64" spans="1:43" x14ac:dyDescent="0.35">
      <c r="A64">
        <v>61</v>
      </c>
      <c r="B64">
        <v>0</v>
      </c>
      <c r="C64">
        <v>61</v>
      </c>
      <c r="D64" t="s">
        <v>49</v>
      </c>
      <c r="E64">
        <v>0</v>
      </c>
      <c r="F64">
        <v>0.51192720000000003</v>
      </c>
      <c r="G64" t="s">
        <v>44</v>
      </c>
      <c r="H64">
        <v>0</v>
      </c>
      <c r="I64">
        <v>61</v>
      </c>
      <c r="J64">
        <v>0</v>
      </c>
      <c r="K64">
        <v>61</v>
      </c>
      <c r="L64">
        <v>0</v>
      </c>
      <c r="M64">
        <v>120.22641659999999</v>
      </c>
      <c r="V64">
        <v>120.20985589999999</v>
      </c>
      <c r="W64">
        <v>120.22641659999999</v>
      </c>
      <c r="X64">
        <v>121.2266278</v>
      </c>
      <c r="Y64">
        <v>121.2093891</v>
      </c>
      <c r="Z64">
        <v>121.7264821</v>
      </c>
      <c r="AA64" t="s">
        <v>49</v>
      </c>
      <c r="AB64">
        <v>0</v>
      </c>
      <c r="AC64">
        <v>0.51192720000000003</v>
      </c>
      <c r="AD64" t="s">
        <v>44</v>
      </c>
      <c r="AE64">
        <v>0</v>
      </c>
      <c r="AJ64">
        <v>1</v>
      </c>
      <c r="AK64">
        <v>1</v>
      </c>
      <c r="AL64" t="s">
        <v>45</v>
      </c>
      <c r="AM64" t="s">
        <v>46</v>
      </c>
      <c r="AO64" t="s">
        <v>47</v>
      </c>
      <c r="AP64">
        <v>60.046968710000002</v>
      </c>
      <c r="AQ64" t="s">
        <v>48</v>
      </c>
    </row>
    <row r="65" spans="1:43" x14ac:dyDescent="0.35">
      <c r="A65">
        <v>62</v>
      </c>
      <c r="B65">
        <v>0</v>
      </c>
      <c r="C65">
        <v>62</v>
      </c>
      <c r="D65" t="s">
        <v>49</v>
      </c>
      <c r="E65">
        <v>0</v>
      </c>
      <c r="F65">
        <v>0.5109416</v>
      </c>
      <c r="G65" t="s">
        <v>44</v>
      </c>
      <c r="H65">
        <v>0</v>
      </c>
      <c r="I65">
        <v>62</v>
      </c>
      <c r="J65">
        <v>0</v>
      </c>
      <c r="K65">
        <v>62</v>
      </c>
      <c r="L65">
        <v>0</v>
      </c>
      <c r="M65">
        <v>121.742648</v>
      </c>
      <c r="V65">
        <v>121.7266565</v>
      </c>
      <c r="W65">
        <v>121.742648</v>
      </c>
      <c r="X65">
        <v>122.7429157</v>
      </c>
      <c r="Y65">
        <v>122.7262369</v>
      </c>
      <c r="Z65">
        <v>123.24309649999999</v>
      </c>
      <c r="AA65" t="s">
        <v>49</v>
      </c>
      <c r="AB65">
        <v>0</v>
      </c>
      <c r="AC65">
        <v>0.5109416</v>
      </c>
      <c r="AD65" t="s">
        <v>44</v>
      </c>
      <c r="AE65">
        <v>0</v>
      </c>
      <c r="AJ65">
        <v>1</v>
      </c>
      <c r="AK65">
        <v>1</v>
      </c>
      <c r="AL65" t="s">
        <v>45</v>
      </c>
      <c r="AM65" t="s">
        <v>46</v>
      </c>
      <c r="AO65" t="s">
        <v>47</v>
      </c>
      <c r="AP65">
        <v>60.046968710000002</v>
      </c>
      <c r="AQ65" t="s">
        <v>48</v>
      </c>
    </row>
    <row r="66" spans="1:43" x14ac:dyDescent="0.35">
      <c r="A66">
        <v>63</v>
      </c>
      <c r="B66">
        <v>0</v>
      </c>
      <c r="C66">
        <v>63</v>
      </c>
      <c r="D66" t="s">
        <v>49</v>
      </c>
      <c r="E66">
        <v>0</v>
      </c>
      <c r="F66">
        <v>0.40959319999999999</v>
      </c>
      <c r="G66" t="s">
        <v>44</v>
      </c>
      <c r="H66">
        <v>0</v>
      </c>
      <c r="I66">
        <v>63</v>
      </c>
      <c r="J66">
        <v>0</v>
      </c>
      <c r="K66">
        <v>63</v>
      </c>
      <c r="L66">
        <v>0</v>
      </c>
      <c r="M66">
        <v>123.2594096</v>
      </c>
      <c r="V66">
        <v>123.2432634</v>
      </c>
      <c r="W66">
        <v>123.2594096</v>
      </c>
      <c r="X66">
        <v>124.25955759999999</v>
      </c>
      <c r="Y66">
        <v>124.24265870000001</v>
      </c>
      <c r="Z66">
        <v>124.6597197</v>
      </c>
      <c r="AA66" t="s">
        <v>49</v>
      </c>
      <c r="AB66">
        <v>0</v>
      </c>
      <c r="AC66">
        <v>0.40959319999999999</v>
      </c>
      <c r="AD66" t="s">
        <v>44</v>
      </c>
      <c r="AE66">
        <v>0</v>
      </c>
      <c r="AJ66">
        <v>1</v>
      </c>
      <c r="AK66">
        <v>1</v>
      </c>
      <c r="AL66" t="s">
        <v>45</v>
      </c>
      <c r="AM66" t="s">
        <v>46</v>
      </c>
      <c r="AO66" t="s">
        <v>47</v>
      </c>
      <c r="AP66">
        <v>60.046968710000002</v>
      </c>
      <c r="AQ66" t="s">
        <v>48</v>
      </c>
    </row>
    <row r="67" spans="1:43" x14ac:dyDescent="0.35">
      <c r="A67">
        <v>64</v>
      </c>
      <c r="B67">
        <v>0</v>
      </c>
      <c r="C67">
        <v>64</v>
      </c>
      <c r="D67" t="s">
        <v>49</v>
      </c>
      <c r="E67">
        <v>0</v>
      </c>
      <c r="F67">
        <v>0.3992734</v>
      </c>
      <c r="G67" t="s">
        <v>44</v>
      </c>
      <c r="H67">
        <v>0</v>
      </c>
      <c r="I67">
        <v>64</v>
      </c>
      <c r="J67">
        <v>0</v>
      </c>
      <c r="K67">
        <v>64</v>
      </c>
      <c r="L67">
        <v>0</v>
      </c>
      <c r="M67">
        <v>124.6760994</v>
      </c>
      <c r="V67">
        <v>124.6598718</v>
      </c>
      <c r="W67">
        <v>124.6760994</v>
      </c>
      <c r="X67">
        <v>125.6760633</v>
      </c>
      <c r="Y67">
        <v>125.6591923</v>
      </c>
      <c r="Z67">
        <v>126.0597058</v>
      </c>
      <c r="AA67" t="s">
        <v>49</v>
      </c>
      <c r="AB67">
        <v>0</v>
      </c>
      <c r="AC67">
        <v>0.3992734</v>
      </c>
      <c r="AD67" t="s">
        <v>44</v>
      </c>
      <c r="AE67">
        <v>0</v>
      </c>
      <c r="AJ67">
        <v>1</v>
      </c>
      <c r="AK67">
        <v>1</v>
      </c>
      <c r="AL67" t="s">
        <v>45</v>
      </c>
      <c r="AM67" t="s">
        <v>46</v>
      </c>
      <c r="AO67" t="s">
        <v>47</v>
      </c>
      <c r="AP67">
        <v>60.046968710000002</v>
      </c>
      <c r="AQ67" t="s">
        <v>48</v>
      </c>
    </row>
    <row r="68" spans="1:43" x14ac:dyDescent="0.35">
      <c r="A68">
        <v>65</v>
      </c>
      <c r="B68">
        <v>0</v>
      </c>
      <c r="C68">
        <v>65</v>
      </c>
      <c r="D68" t="s">
        <v>49</v>
      </c>
      <c r="E68">
        <v>1</v>
      </c>
      <c r="F68">
        <v>1.1044768</v>
      </c>
      <c r="G68" t="s">
        <v>44</v>
      </c>
      <c r="H68">
        <v>-4</v>
      </c>
      <c r="I68">
        <v>65</v>
      </c>
      <c r="J68">
        <v>0</v>
      </c>
      <c r="K68">
        <v>65</v>
      </c>
      <c r="L68">
        <v>0</v>
      </c>
      <c r="M68">
        <v>126.0760813</v>
      </c>
      <c r="V68">
        <v>126.05990749999999</v>
      </c>
      <c r="W68">
        <v>126.0760813</v>
      </c>
      <c r="X68">
        <v>127.07608020000001</v>
      </c>
      <c r="Y68">
        <v>127.05948069999999</v>
      </c>
      <c r="Z68">
        <v>128.17594360000001</v>
      </c>
      <c r="AA68" t="s">
        <v>49</v>
      </c>
      <c r="AB68">
        <v>1</v>
      </c>
      <c r="AC68">
        <v>1.1044768</v>
      </c>
      <c r="AD68" t="s">
        <v>44</v>
      </c>
      <c r="AE68">
        <v>-4</v>
      </c>
      <c r="AJ68">
        <v>1</v>
      </c>
      <c r="AK68">
        <v>1</v>
      </c>
      <c r="AL68" t="s">
        <v>45</v>
      </c>
      <c r="AM68" t="s">
        <v>46</v>
      </c>
      <c r="AO68" t="s">
        <v>47</v>
      </c>
      <c r="AP68">
        <v>60.046968710000002</v>
      </c>
      <c r="AQ68" t="s">
        <v>48</v>
      </c>
    </row>
    <row r="69" spans="1:43" x14ac:dyDescent="0.35">
      <c r="A69">
        <v>66</v>
      </c>
      <c r="B69">
        <v>0</v>
      </c>
      <c r="C69">
        <v>66</v>
      </c>
      <c r="D69" t="s">
        <v>50</v>
      </c>
      <c r="E69">
        <v>1</v>
      </c>
      <c r="F69">
        <v>4.1378613</v>
      </c>
      <c r="G69" t="s">
        <v>44</v>
      </c>
      <c r="H69">
        <v>0</v>
      </c>
      <c r="I69">
        <v>66</v>
      </c>
      <c r="J69">
        <v>0</v>
      </c>
      <c r="K69">
        <v>66</v>
      </c>
      <c r="L69">
        <v>0</v>
      </c>
      <c r="M69">
        <v>128.1926076</v>
      </c>
      <c r="V69">
        <v>128.17611790000001</v>
      </c>
      <c r="W69">
        <v>128.1926076</v>
      </c>
      <c r="X69">
        <v>129.19257830000001</v>
      </c>
      <c r="Y69">
        <v>129.17593160000001</v>
      </c>
      <c r="Z69">
        <v>133.32553139999999</v>
      </c>
      <c r="AA69" t="s">
        <v>50</v>
      </c>
      <c r="AB69">
        <v>1</v>
      </c>
      <c r="AC69">
        <v>4.1378613</v>
      </c>
      <c r="AD69" t="s">
        <v>44</v>
      </c>
      <c r="AE69">
        <v>0</v>
      </c>
      <c r="AJ69">
        <v>1</v>
      </c>
      <c r="AK69">
        <v>1</v>
      </c>
      <c r="AL69" t="s">
        <v>45</v>
      </c>
      <c r="AM69" t="s">
        <v>46</v>
      </c>
      <c r="AO69" t="s">
        <v>47</v>
      </c>
      <c r="AP69">
        <v>60.046968710000002</v>
      </c>
      <c r="AQ69" t="s">
        <v>48</v>
      </c>
    </row>
    <row r="70" spans="1:43" x14ac:dyDescent="0.35">
      <c r="A70">
        <v>67</v>
      </c>
      <c r="B70">
        <v>0</v>
      </c>
      <c r="C70">
        <v>67</v>
      </c>
      <c r="D70" t="s">
        <v>49</v>
      </c>
      <c r="E70">
        <v>0</v>
      </c>
      <c r="F70">
        <v>0.94415179999999999</v>
      </c>
      <c r="G70" t="s">
        <v>44</v>
      </c>
      <c r="H70">
        <v>0</v>
      </c>
      <c r="I70">
        <v>67</v>
      </c>
      <c r="J70">
        <v>0</v>
      </c>
      <c r="K70">
        <v>67</v>
      </c>
      <c r="L70">
        <v>0</v>
      </c>
      <c r="M70">
        <v>133.34221579999999</v>
      </c>
      <c r="V70">
        <v>133.32571279999999</v>
      </c>
      <c r="W70">
        <v>133.34221579999999</v>
      </c>
      <c r="X70">
        <v>134.34215330000001</v>
      </c>
      <c r="Y70">
        <v>134.32614409999999</v>
      </c>
      <c r="Z70">
        <v>135.27585389999999</v>
      </c>
      <c r="AA70" t="s">
        <v>49</v>
      </c>
      <c r="AB70">
        <v>0</v>
      </c>
      <c r="AC70">
        <v>0.94415179999999999</v>
      </c>
      <c r="AD70" t="s">
        <v>44</v>
      </c>
      <c r="AE70">
        <v>0</v>
      </c>
      <c r="AJ70">
        <v>1</v>
      </c>
      <c r="AK70">
        <v>1</v>
      </c>
      <c r="AL70" t="s">
        <v>45</v>
      </c>
      <c r="AM70" t="s">
        <v>46</v>
      </c>
      <c r="AO70" t="s">
        <v>47</v>
      </c>
      <c r="AP70">
        <v>60.046968710000002</v>
      </c>
      <c r="AQ70" t="s">
        <v>48</v>
      </c>
    </row>
    <row r="71" spans="1:43" x14ac:dyDescent="0.35">
      <c r="A71">
        <v>68</v>
      </c>
      <c r="B71">
        <v>0</v>
      </c>
      <c r="C71">
        <v>68</v>
      </c>
      <c r="D71" t="s">
        <v>49</v>
      </c>
      <c r="E71">
        <v>1</v>
      </c>
      <c r="F71">
        <v>0.64358559999999998</v>
      </c>
      <c r="G71" t="s">
        <v>44</v>
      </c>
      <c r="H71">
        <v>-5</v>
      </c>
      <c r="I71">
        <v>68</v>
      </c>
      <c r="J71">
        <v>0</v>
      </c>
      <c r="K71">
        <v>68</v>
      </c>
      <c r="L71">
        <v>0</v>
      </c>
      <c r="M71">
        <v>135.29232020000001</v>
      </c>
      <c r="V71">
        <v>135.27604919999999</v>
      </c>
      <c r="W71">
        <v>135.29232020000001</v>
      </c>
      <c r="X71">
        <v>136.29229340000001</v>
      </c>
      <c r="Y71">
        <v>136.27558920000001</v>
      </c>
      <c r="Z71">
        <v>136.92566690000001</v>
      </c>
      <c r="AA71" t="s">
        <v>49</v>
      </c>
      <c r="AB71">
        <v>1</v>
      </c>
      <c r="AC71">
        <v>0.64358559999999998</v>
      </c>
      <c r="AD71" t="s">
        <v>44</v>
      </c>
      <c r="AE71">
        <v>-5</v>
      </c>
      <c r="AJ71">
        <v>1</v>
      </c>
      <c r="AK71">
        <v>1</v>
      </c>
      <c r="AL71" t="s">
        <v>45</v>
      </c>
      <c r="AM71" t="s">
        <v>46</v>
      </c>
      <c r="AO71" t="s">
        <v>47</v>
      </c>
      <c r="AP71">
        <v>60.046968710000002</v>
      </c>
      <c r="AQ71" t="s">
        <v>48</v>
      </c>
    </row>
    <row r="72" spans="1:43" x14ac:dyDescent="0.35">
      <c r="A72">
        <v>69</v>
      </c>
      <c r="B72">
        <v>0</v>
      </c>
      <c r="C72">
        <v>69</v>
      </c>
      <c r="D72" t="s">
        <v>49</v>
      </c>
      <c r="E72">
        <v>1</v>
      </c>
      <c r="F72">
        <v>0.65146729999999997</v>
      </c>
      <c r="G72" t="s">
        <v>44</v>
      </c>
      <c r="H72">
        <v>3</v>
      </c>
      <c r="I72">
        <v>69</v>
      </c>
      <c r="J72">
        <v>0</v>
      </c>
      <c r="K72">
        <v>69</v>
      </c>
      <c r="L72">
        <v>0</v>
      </c>
      <c r="M72">
        <v>136.94218430000001</v>
      </c>
      <c r="V72">
        <v>136.9259145</v>
      </c>
      <c r="W72">
        <v>136.94218430000001</v>
      </c>
      <c r="X72">
        <v>137.9423204</v>
      </c>
      <c r="Y72">
        <v>137.925468</v>
      </c>
      <c r="Z72">
        <v>138.5924388</v>
      </c>
      <c r="AA72" t="s">
        <v>49</v>
      </c>
      <c r="AB72">
        <v>1</v>
      </c>
      <c r="AC72">
        <v>0.65146729999999997</v>
      </c>
      <c r="AD72" t="s">
        <v>44</v>
      </c>
      <c r="AE72">
        <v>3</v>
      </c>
      <c r="AJ72">
        <v>1</v>
      </c>
      <c r="AK72">
        <v>1</v>
      </c>
      <c r="AL72" t="s">
        <v>45</v>
      </c>
      <c r="AM72" t="s">
        <v>46</v>
      </c>
      <c r="AO72" t="s">
        <v>47</v>
      </c>
      <c r="AP72">
        <v>60.046968710000002</v>
      </c>
      <c r="AQ72" t="s">
        <v>48</v>
      </c>
    </row>
    <row r="73" spans="1:43" x14ac:dyDescent="0.35">
      <c r="A73">
        <v>70</v>
      </c>
      <c r="B73">
        <v>0</v>
      </c>
      <c r="C73">
        <v>70</v>
      </c>
      <c r="D73" t="s">
        <v>50</v>
      </c>
      <c r="E73">
        <v>0</v>
      </c>
      <c r="F73">
        <v>0.71396510000000002</v>
      </c>
      <c r="G73" t="s">
        <v>44</v>
      </c>
      <c r="H73">
        <v>-2</v>
      </c>
      <c r="I73">
        <v>70</v>
      </c>
      <c r="J73">
        <v>0</v>
      </c>
      <c r="K73">
        <v>70</v>
      </c>
      <c r="L73">
        <v>0</v>
      </c>
      <c r="M73">
        <v>138.6088355</v>
      </c>
      <c r="V73">
        <v>138.59263329999999</v>
      </c>
      <c r="W73">
        <v>138.6088355</v>
      </c>
      <c r="X73">
        <v>139.60875680000001</v>
      </c>
      <c r="Y73">
        <v>139.59222919999999</v>
      </c>
      <c r="Z73">
        <v>140.3089919</v>
      </c>
      <c r="AA73" t="s">
        <v>50</v>
      </c>
      <c r="AB73">
        <v>0</v>
      </c>
      <c r="AC73">
        <v>0.71396510000000002</v>
      </c>
      <c r="AD73" t="s">
        <v>44</v>
      </c>
      <c r="AE73">
        <v>-2</v>
      </c>
      <c r="AJ73">
        <v>1</v>
      </c>
      <c r="AK73">
        <v>1</v>
      </c>
      <c r="AL73" t="s">
        <v>45</v>
      </c>
      <c r="AM73" t="s">
        <v>46</v>
      </c>
      <c r="AO73" t="s">
        <v>47</v>
      </c>
      <c r="AP73">
        <v>60.046968710000002</v>
      </c>
      <c r="AQ73" t="s">
        <v>48</v>
      </c>
    </row>
    <row r="74" spans="1:43" x14ac:dyDescent="0.35">
      <c r="A74">
        <v>71</v>
      </c>
      <c r="B74">
        <v>0</v>
      </c>
      <c r="C74">
        <v>71</v>
      </c>
      <c r="D74" t="s">
        <v>50</v>
      </c>
      <c r="E74">
        <v>0</v>
      </c>
      <c r="F74">
        <v>1.5509752000000001</v>
      </c>
      <c r="G74" t="s">
        <v>44</v>
      </c>
      <c r="H74">
        <v>2</v>
      </c>
      <c r="I74">
        <v>71</v>
      </c>
      <c r="J74">
        <v>0</v>
      </c>
      <c r="K74">
        <v>71</v>
      </c>
      <c r="L74">
        <v>0</v>
      </c>
      <c r="M74">
        <v>140.32524660000001</v>
      </c>
      <c r="V74">
        <v>140.3091939</v>
      </c>
      <c r="W74">
        <v>140.32524660000001</v>
      </c>
      <c r="X74">
        <v>141.3252665</v>
      </c>
      <c r="Y74">
        <v>141.30869899999999</v>
      </c>
      <c r="Z74">
        <v>142.87539050000001</v>
      </c>
      <c r="AA74" t="s">
        <v>50</v>
      </c>
      <c r="AB74">
        <v>0</v>
      </c>
      <c r="AC74">
        <v>1.5509752000000001</v>
      </c>
      <c r="AD74" t="s">
        <v>44</v>
      </c>
      <c r="AE74">
        <v>2</v>
      </c>
      <c r="AJ74">
        <v>1</v>
      </c>
      <c r="AK74">
        <v>1</v>
      </c>
      <c r="AL74" t="s">
        <v>45</v>
      </c>
      <c r="AM74" t="s">
        <v>46</v>
      </c>
      <c r="AO74" t="s">
        <v>47</v>
      </c>
      <c r="AP74">
        <v>60.046968710000002</v>
      </c>
      <c r="AQ74" t="s">
        <v>48</v>
      </c>
    </row>
    <row r="75" spans="1:43" x14ac:dyDescent="0.35">
      <c r="A75">
        <v>72</v>
      </c>
      <c r="B75">
        <v>0</v>
      </c>
      <c r="C75">
        <v>72</v>
      </c>
      <c r="D75" t="s">
        <v>50</v>
      </c>
      <c r="E75">
        <v>1</v>
      </c>
      <c r="F75">
        <v>0.72013819999999995</v>
      </c>
      <c r="G75" t="s">
        <v>44</v>
      </c>
      <c r="H75">
        <v>0</v>
      </c>
      <c r="I75">
        <v>72</v>
      </c>
      <c r="J75">
        <v>0</v>
      </c>
      <c r="K75">
        <v>72</v>
      </c>
      <c r="L75">
        <v>0</v>
      </c>
      <c r="M75">
        <v>142.8919501</v>
      </c>
      <c r="V75">
        <v>142.87562209999999</v>
      </c>
      <c r="W75">
        <v>142.8919501</v>
      </c>
      <c r="X75">
        <v>143.89188820000001</v>
      </c>
      <c r="Y75">
        <v>143.8752197</v>
      </c>
      <c r="Z75">
        <v>144.61010870000001</v>
      </c>
      <c r="AA75" t="s">
        <v>50</v>
      </c>
      <c r="AB75">
        <v>1</v>
      </c>
      <c r="AC75">
        <v>0.72013819999999995</v>
      </c>
      <c r="AD75" t="s">
        <v>44</v>
      </c>
      <c r="AE75">
        <v>0</v>
      </c>
      <c r="AJ75">
        <v>1</v>
      </c>
      <c r="AK75">
        <v>1</v>
      </c>
      <c r="AL75" t="s">
        <v>45</v>
      </c>
      <c r="AM75" t="s">
        <v>46</v>
      </c>
      <c r="AO75" t="s">
        <v>47</v>
      </c>
      <c r="AP75">
        <v>60.046968710000002</v>
      </c>
      <c r="AQ75" t="s">
        <v>48</v>
      </c>
    </row>
    <row r="76" spans="1:43" x14ac:dyDescent="0.35">
      <c r="A76">
        <v>73</v>
      </c>
      <c r="B76">
        <v>0</v>
      </c>
      <c r="C76">
        <v>73</v>
      </c>
      <c r="D76" t="s">
        <v>49</v>
      </c>
      <c r="E76">
        <v>1</v>
      </c>
      <c r="F76">
        <v>0.54506569999999999</v>
      </c>
      <c r="G76" t="s">
        <v>44</v>
      </c>
      <c r="H76">
        <v>2</v>
      </c>
      <c r="I76">
        <v>73</v>
      </c>
      <c r="J76">
        <v>0</v>
      </c>
      <c r="K76">
        <v>73</v>
      </c>
      <c r="L76">
        <v>0</v>
      </c>
      <c r="M76">
        <v>144.62515769999999</v>
      </c>
      <c r="V76">
        <v>144.6103292</v>
      </c>
      <c r="W76">
        <v>144.62515769999999</v>
      </c>
      <c r="X76">
        <v>145.6250751</v>
      </c>
      <c r="Y76">
        <v>145.6250751</v>
      </c>
      <c r="Z76">
        <v>146.17526659999999</v>
      </c>
      <c r="AA76" t="s">
        <v>49</v>
      </c>
      <c r="AB76">
        <v>1</v>
      </c>
      <c r="AC76">
        <v>0.54506569999999999</v>
      </c>
      <c r="AD76" t="s">
        <v>44</v>
      </c>
      <c r="AE76">
        <v>2</v>
      </c>
      <c r="AJ76">
        <v>1</v>
      </c>
      <c r="AK76">
        <v>1</v>
      </c>
      <c r="AL76" t="s">
        <v>45</v>
      </c>
      <c r="AM76" t="s">
        <v>46</v>
      </c>
      <c r="AO76" t="s">
        <v>47</v>
      </c>
      <c r="AP76">
        <v>60.046968710000002</v>
      </c>
      <c r="AQ76" t="s">
        <v>48</v>
      </c>
    </row>
    <row r="77" spans="1:43" x14ac:dyDescent="0.35">
      <c r="A77">
        <v>74</v>
      </c>
      <c r="B77">
        <v>0</v>
      </c>
      <c r="C77">
        <v>74</v>
      </c>
      <c r="D77" t="s">
        <v>49</v>
      </c>
      <c r="E77">
        <v>1</v>
      </c>
      <c r="F77">
        <v>0.69377909999999998</v>
      </c>
      <c r="G77" t="s">
        <v>44</v>
      </c>
      <c r="H77">
        <v>-3</v>
      </c>
      <c r="I77">
        <v>74</v>
      </c>
      <c r="J77">
        <v>0</v>
      </c>
      <c r="K77">
        <v>74</v>
      </c>
      <c r="L77">
        <v>0</v>
      </c>
      <c r="M77">
        <v>146.19147860000001</v>
      </c>
      <c r="V77">
        <v>146.17548590000001</v>
      </c>
      <c r="W77">
        <v>146.19147860000001</v>
      </c>
      <c r="X77">
        <v>147.19170030000001</v>
      </c>
      <c r="Y77">
        <v>147.1750418</v>
      </c>
      <c r="Z77">
        <v>147.8751436</v>
      </c>
      <c r="AA77" t="s">
        <v>49</v>
      </c>
      <c r="AB77">
        <v>1</v>
      </c>
      <c r="AC77">
        <v>0.69377909999999998</v>
      </c>
      <c r="AD77" t="s">
        <v>44</v>
      </c>
      <c r="AE77">
        <v>-3</v>
      </c>
      <c r="AJ77">
        <v>1</v>
      </c>
      <c r="AK77">
        <v>1</v>
      </c>
      <c r="AL77" t="s">
        <v>45</v>
      </c>
      <c r="AM77" t="s">
        <v>46</v>
      </c>
      <c r="AO77" t="s">
        <v>47</v>
      </c>
      <c r="AP77">
        <v>60.046968710000002</v>
      </c>
      <c r="AQ77" t="s">
        <v>48</v>
      </c>
    </row>
    <row r="78" spans="1:43" x14ac:dyDescent="0.35">
      <c r="A78">
        <v>75</v>
      </c>
      <c r="B78">
        <v>0</v>
      </c>
      <c r="C78">
        <v>75</v>
      </c>
      <c r="D78" t="s">
        <v>49</v>
      </c>
      <c r="E78">
        <v>1</v>
      </c>
      <c r="F78">
        <v>0.47117199999999998</v>
      </c>
      <c r="G78" t="s">
        <v>44</v>
      </c>
      <c r="H78">
        <v>-4</v>
      </c>
      <c r="I78">
        <v>75</v>
      </c>
      <c r="J78">
        <v>0</v>
      </c>
      <c r="K78">
        <v>75</v>
      </c>
      <c r="L78">
        <v>0</v>
      </c>
      <c r="M78">
        <v>147.89162959999999</v>
      </c>
      <c r="V78">
        <v>147.87533350000001</v>
      </c>
      <c r="W78">
        <v>147.89162959999999</v>
      </c>
      <c r="X78">
        <v>148.89173980000001</v>
      </c>
      <c r="Y78">
        <v>148.874932</v>
      </c>
      <c r="Z78">
        <v>149.3585324</v>
      </c>
      <c r="AA78" t="s">
        <v>49</v>
      </c>
      <c r="AB78">
        <v>1</v>
      </c>
      <c r="AC78">
        <v>0.47117199999999998</v>
      </c>
      <c r="AD78" t="s">
        <v>44</v>
      </c>
      <c r="AE78">
        <v>-4</v>
      </c>
      <c r="AJ78">
        <v>1</v>
      </c>
      <c r="AK78">
        <v>1</v>
      </c>
      <c r="AL78" t="s">
        <v>45</v>
      </c>
      <c r="AM78" t="s">
        <v>46</v>
      </c>
      <c r="AO78" t="s">
        <v>47</v>
      </c>
      <c r="AP78">
        <v>60.046968710000002</v>
      </c>
      <c r="AQ78" t="s">
        <v>48</v>
      </c>
    </row>
    <row r="79" spans="1:43" x14ac:dyDescent="0.35">
      <c r="A79">
        <v>76</v>
      </c>
      <c r="B79">
        <v>0</v>
      </c>
      <c r="C79">
        <v>76</v>
      </c>
      <c r="D79" t="s">
        <v>49</v>
      </c>
      <c r="E79">
        <v>1</v>
      </c>
      <c r="F79">
        <v>0.84108919999999998</v>
      </c>
      <c r="G79" t="s">
        <v>44</v>
      </c>
      <c r="H79">
        <v>-2</v>
      </c>
      <c r="I79">
        <v>76</v>
      </c>
      <c r="J79">
        <v>0</v>
      </c>
      <c r="K79">
        <v>76</v>
      </c>
      <c r="L79">
        <v>0</v>
      </c>
      <c r="M79">
        <v>149.37472220000001</v>
      </c>
      <c r="V79">
        <v>149.3587048</v>
      </c>
      <c r="W79">
        <v>149.37472220000001</v>
      </c>
      <c r="X79">
        <v>150.3748185</v>
      </c>
      <c r="Y79">
        <v>150.3582285</v>
      </c>
      <c r="Z79">
        <v>151.20835339999999</v>
      </c>
      <c r="AA79" t="s">
        <v>49</v>
      </c>
      <c r="AB79">
        <v>1</v>
      </c>
      <c r="AC79">
        <v>0.84108919999999998</v>
      </c>
      <c r="AD79" t="s">
        <v>44</v>
      </c>
      <c r="AE79">
        <v>-2</v>
      </c>
      <c r="AJ79">
        <v>1</v>
      </c>
      <c r="AK79">
        <v>1</v>
      </c>
      <c r="AL79" t="s">
        <v>45</v>
      </c>
      <c r="AM79" t="s">
        <v>46</v>
      </c>
      <c r="AO79" t="s">
        <v>47</v>
      </c>
      <c r="AP79">
        <v>60.046968710000002</v>
      </c>
      <c r="AQ79" t="s">
        <v>48</v>
      </c>
    </row>
    <row r="80" spans="1:43" x14ac:dyDescent="0.35">
      <c r="A80">
        <v>77</v>
      </c>
      <c r="B80">
        <v>0</v>
      </c>
      <c r="C80">
        <v>77</v>
      </c>
      <c r="D80" t="s">
        <v>50</v>
      </c>
      <c r="E80">
        <v>1</v>
      </c>
      <c r="F80">
        <v>1.0261357</v>
      </c>
      <c r="G80" t="s">
        <v>44</v>
      </c>
      <c r="H80">
        <v>0</v>
      </c>
      <c r="I80">
        <v>77</v>
      </c>
      <c r="J80">
        <v>0</v>
      </c>
      <c r="K80">
        <v>77</v>
      </c>
      <c r="L80">
        <v>0</v>
      </c>
      <c r="M80">
        <v>151.22474629999999</v>
      </c>
      <c r="V80">
        <v>151.20851780000001</v>
      </c>
      <c r="W80">
        <v>151.22474629999999</v>
      </c>
      <c r="X80">
        <v>152.22484220000001</v>
      </c>
      <c r="Y80">
        <v>152.20806709999999</v>
      </c>
      <c r="Z80">
        <v>153.2413742</v>
      </c>
      <c r="AA80" t="s">
        <v>50</v>
      </c>
      <c r="AB80">
        <v>1</v>
      </c>
      <c r="AC80">
        <v>1.0261357</v>
      </c>
      <c r="AD80" t="s">
        <v>44</v>
      </c>
      <c r="AE80">
        <v>0</v>
      </c>
      <c r="AJ80">
        <v>1</v>
      </c>
      <c r="AK80">
        <v>1</v>
      </c>
      <c r="AL80" t="s">
        <v>45</v>
      </c>
      <c r="AM80" t="s">
        <v>46</v>
      </c>
      <c r="AO80" t="s">
        <v>47</v>
      </c>
      <c r="AP80">
        <v>60.046968710000002</v>
      </c>
      <c r="AQ80" t="s">
        <v>48</v>
      </c>
    </row>
    <row r="81" spans="1:43" x14ac:dyDescent="0.35">
      <c r="A81">
        <v>78</v>
      </c>
      <c r="B81">
        <v>0</v>
      </c>
      <c r="C81">
        <v>78</v>
      </c>
      <c r="D81" t="s">
        <v>50</v>
      </c>
      <c r="E81">
        <v>1</v>
      </c>
      <c r="F81">
        <v>0.565994</v>
      </c>
      <c r="G81" t="s">
        <v>44</v>
      </c>
      <c r="H81">
        <v>0</v>
      </c>
      <c r="I81">
        <v>78</v>
      </c>
      <c r="J81">
        <v>0</v>
      </c>
      <c r="K81">
        <v>78</v>
      </c>
      <c r="L81">
        <v>0</v>
      </c>
      <c r="M81">
        <v>153.257935</v>
      </c>
      <c r="V81">
        <v>153.24155089999999</v>
      </c>
      <c r="W81">
        <v>153.257935</v>
      </c>
      <c r="X81">
        <v>154.25800599999999</v>
      </c>
      <c r="Y81">
        <v>154.24152040000001</v>
      </c>
      <c r="Z81">
        <v>154.82495890000001</v>
      </c>
      <c r="AA81" t="s">
        <v>50</v>
      </c>
      <c r="AB81">
        <v>1</v>
      </c>
      <c r="AC81">
        <v>0.565994</v>
      </c>
      <c r="AD81" t="s">
        <v>44</v>
      </c>
      <c r="AE81">
        <v>0</v>
      </c>
      <c r="AJ81">
        <v>1</v>
      </c>
      <c r="AK81">
        <v>1</v>
      </c>
      <c r="AL81" t="s">
        <v>45</v>
      </c>
      <c r="AM81" t="s">
        <v>46</v>
      </c>
      <c r="AO81" t="s">
        <v>47</v>
      </c>
      <c r="AP81">
        <v>60.046968710000002</v>
      </c>
      <c r="AQ81" t="s">
        <v>48</v>
      </c>
    </row>
    <row r="82" spans="1:43" x14ac:dyDescent="0.35">
      <c r="A82">
        <v>79</v>
      </c>
      <c r="B82">
        <v>0</v>
      </c>
      <c r="C82">
        <v>79</v>
      </c>
      <c r="D82" t="s">
        <v>50</v>
      </c>
      <c r="E82">
        <v>0</v>
      </c>
      <c r="F82">
        <v>0.60714270000000004</v>
      </c>
      <c r="G82" t="s">
        <v>44</v>
      </c>
      <c r="H82">
        <v>-2</v>
      </c>
      <c r="I82">
        <v>79</v>
      </c>
      <c r="J82">
        <v>0</v>
      </c>
      <c r="K82">
        <v>79</v>
      </c>
      <c r="L82">
        <v>0</v>
      </c>
      <c r="M82">
        <v>154.84133829999999</v>
      </c>
      <c r="V82">
        <v>154.8251324</v>
      </c>
      <c r="W82">
        <v>154.84133829999999</v>
      </c>
      <c r="X82">
        <v>155.8412385</v>
      </c>
      <c r="Y82">
        <v>155.8245374</v>
      </c>
      <c r="Z82">
        <v>156.4415731</v>
      </c>
      <c r="AA82" t="s">
        <v>50</v>
      </c>
      <c r="AB82">
        <v>0</v>
      </c>
      <c r="AC82">
        <v>0.60714270000000004</v>
      </c>
      <c r="AD82" t="s">
        <v>44</v>
      </c>
      <c r="AE82">
        <v>-2</v>
      </c>
      <c r="AJ82">
        <v>1</v>
      </c>
      <c r="AK82">
        <v>1</v>
      </c>
      <c r="AL82" t="s">
        <v>45</v>
      </c>
      <c r="AM82" t="s">
        <v>46</v>
      </c>
      <c r="AO82" t="s">
        <v>47</v>
      </c>
      <c r="AP82">
        <v>60.046968710000002</v>
      </c>
      <c r="AQ82" t="s">
        <v>48</v>
      </c>
    </row>
    <row r="83" spans="1:43" x14ac:dyDescent="0.35">
      <c r="A83">
        <v>80</v>
      </c>
      <c r="B83">
        <v>0</v>
      </c>
      <c r="C83">
        <v>80</v>
      </c>
      <c r="D83" t="s">
        <v>49</v>
      </c>
      <c r="E83">
        <v>1</v>
      </c>
      <c r="F83">
        <v>0.93103250000000004</v>
      </c>
      <c r="G83" t="s">
        <v>44</v>
      </c>
      <c r="H83">
        <v>2</v>
      </c>
      <c r="I83">
        <v>80</v>
      </c>
      <c r="J83">
        <v>0</v>
      </c>
      <c r="K83">
        <v>80</v>
      </c>
      <c r="L83">
        <v>0</v>
      </c>
      <c r="M83">
        <v>156.45777939999999</v>
      </c>
      <c r="V83">
        <v>156.44175480000001</v>
      </c>
      <c r="W83">
        <v>156.45777939999999</v>
      </c>
      <c r="X83">
        <v>157.45796000000001</v>
      </c>
      <c r="Y83">
        <v>157.44124500000001</v>
      </c>
      <c r="Z83">
        <v>158.37440989999999</v>
      </c>
      <c r="AA83" t="s">
        <v>49</v>
      </c>
      <c r="AB83">
        <v>1</v>
      </c>
      <c r="AC83">
        <v>0.93103250000000004</v>
      </c>
      <c r="AD83" t="s">
        <v>44</v>
      </c>
      <c r="AE83">
        <v>2</v>
      </c>
      <c r="AJ83">
        <v>1</v>
      </c>
      <c r="AK83">
        <v>1</v>
      </c>
      <c r="AL83" t="s">
        <v>45</v>
      </c>
      <c r="AM83" t="s">
        <v>46</v>
      </c>
      <c r="AO83" t="s">
        <v>47</v>
      </c>
      <c r="AP83">
        <v>60.046968710000002</v>
      </c>
      <c r="AQ83" t="s">
        <v>48</v>
      </c>
    </row>
    <row r="84" spans="1:43" x14ac:dyDescent="0.35">
      <c r="A84">
        <v>81</v>
      </c>
      <c r="B84">
        <v>0</v>
      </c>
      <c r="C84">
        <v>81</v>
      </c>
      <c r="D84" t="s">
        <v>49</v>
      </c>
      <c r="E84">
        <v>1</v>
      </c>
      <c r="F84">
        <v>0.76744979999999996</v>
      </c>
      <c r="G84" t="s">
        <v>44</v>
      </c>
      <c r="H84">
        <v>-4</v>
      </c>
      <c r="I84">
        <v>81</v>
      </c>
      <c r="J84">
        <v>0</v>
      </c>
      <c r="K84">
        <v>81</v>
      </c>
      <c r="L84">
        <v>0</v>
      </c>
      <c r="M84">
        <v>158.39113169999999</v>
      </c>
      <c r="V84">
        <v>158.374582</v>
      </c>
      <c r="W84">
        <v>158.39113169999999</v>
      </c>
      <c r="X84">
        <v>159.39107079999999</v>
      </c>
      <c r="Y84">
        <v>159.3744082</v>
      </c>
      <c r="Z84">
        <v>160.15873400000001</v>
      </c>
      <c r="AA84" t="s">
        <v>49</v>
      </c>
      <c r="AB84">
        <v>1</v>
      </c>
      <c r="AC84">
        <v>0.76744979999999996</v>
      </c>
      <c r="AD84" t="s">
        <v>44</v>
      </c>
      <c r="AE84">
        <v>-4</v>
      </c>
      <c r="AJ84">
        <v>1</v>
      </c>
      <c r="AK84">
        <v>1</v>
      </c>
      <c r="AL84" t="s">
        <v>45</v>
      </c>
      <c r="AM84" t="s">
        <v>46</v>
      </c>
      <c r="AO84" t="s">
        <v>47</v>
      </c>
      <c r="AP84">
        <v>60.046968710000002</v>
      </c>
      <c r="AQ84" t="s">
        <v>48</v>
      </c>
    </row>
    <row r="85" spans="1:43" x14ac:dyDescent="0.35">
      <c r="A85">
        <v>82</v>
      </c>
      <c r="B85">
        <v>0</v>
      </c>
      <c r="C85">
        <v>82</v>
      </c>
      <c r="D85" t="s">
        <v>49</v>
      </c>
      <c r="E85">
        <v>1</v>
      </c>
      <c r="F85">
        <v>0.73920580000000002</v>
      </c>
      <c r="G85" t="s">
        <v>44</v>
      </c>
      <c r="H85">
        <v>3</v>
      </c>
      <c r="I85">
        <v>82</v>
      </c>
      <c r="J85">
        <v>0</v>
      </c>
      <c r="K85">
        <v>82</v>
      </c>
      <c r="L85">
        <v>0</v>
      </c>
      <c r="M85">
        <v>160.17437910000001</v>
      </c>
      <c r="V85">
        <v>160.1589194</v>
      </c>
      <c r="W85">
        <v>160.17437910000001</v>
      </c>
      <c r="X85">
        <v>161.17444190000001</v>
      </c>
      <c r="Y85">
        <v>161.17444190000001</v>
      </c>
      <c r="Z85">
        <v>161.92451399999999</v>
      </c>
      <c r="AA85" t="s">
        <v>49</v>
      </c>
      <c r="AB85">
        <v>1</v>
      </c>
      <c r="AC85">
        <v>0.73920580000000002</v>
      </c>
      <c r="AD85" t="s">
        <v>44</v>
      </c>
      <c r="AE85">
        <v>3</v>
      </c>
      <c r="AJ85">
        <v>1</v>
      </c>
      <c r="AK85">
        <v>1</v>
      </c>
      <c r="AL85" t="s">
        <v>45</v>
      </c>
      <c r="AM85" t="s">
        <v>46</v>
      </c>
      <c r="AO85" t="s">
        <v>47</v>
      </c>
      <c r="AP85">
        <v>60.046968710000002</v>
      </c>
      <c r="AQ85" t="s">
        <v>48</v>
      </c>
    </row>
    <row r="86" spans="1:43" x14ac:dyDescent="0.35">
      <c r="A86">
        <v>83</v>
      </c>
      <c r="B86">
        <v>0</v>
      </c>
      <c r="C86">
        <v>83</v>
      </c>
      <c r="D86" t="s">
        <v>49</v>
      </c>
      <c r="E86">
        <v>1</v>
      </c>
      <c r="F86">
        <v>0.79933149999999997</v>
      </c>
      <c r="G86" t="s">
        <v>44</v>
      </c>
      <c r="H86">
        <v>2</v>
      </c>
      <c r="I86">
        <v>83</v>
      </c>
      <c r="J86">
        <v>0</v>
      </c>
      <c r="K86">
        <v>83</v>
      </c>
      <c r="L86">
        <v>0</v>
      </c>
      <c r="M86">
        <v>161.94092879999999</v>
      </c>
      <c r="V86">
        <v>161.92470789999999</v>
      </c>
      <c r="W86">
        <v>161.94092879999999</v>
      </c>
      <c r="X86">
        <v>162.94098629999999</v>
      </c>
      <c r="Y86">
        <v>162.92430329999999</v>
      </c>
      <c r="Z86">
        <v>163.7246758</v>
      </c>
      <c r="AA86" t="s">
        <v>49</v>
      </c>
      <c r="AB86">
        <v>1</v>
      </c>
      <c r="AC86">
        <v>0.79933149999999997</v>
      </c>
      <c r="AD86" t="s">
        <v>44</v>
      </c>
      <c r="AE86">
        <v>2</v>
      </c>
      <c r="AJ86">
        <v>1</v>
      </c>
      <c r="AK86">
        <v>1</v>
      </c>
      <c r="AL86" t="s">
        <v>45</v>
      </c>
      <c r="AM86" t="s">
        <v>46</v>
      </c>
      <c r="AO86" t="s">
        <v>47</v>
      </c>
      <c r="AP86">
        <v>60.046968710000002</v>
      </c>
      <c r="AQ86" t="s">
        <v>48</v>
      </c>
    </row>
    <row r="87" spans="1:43" x14ac:dyDescent="0.35">
      <c r="A87">
        <v>84</v>
      </c>
      <c r="B87">
        <v>0</v>
      </c>
      <c r="C87">
        <v>84</v>
      </c>
      <c r="D87" t="s">
        <v>50</v>
      </c>
      <c r="E87">
        <v>1</v>
      </c>
      <c r="F87">
        <v>0.94028149999999999</v>
      </c>
      <c r="G87" t="s">
        <v>44</v>
      </c>
      <c r="H87">
        <v>0</v>
      </c>
      <c r="I87">
        <v>84</v>
      </c>
      <c r="J87">
        <v>0</v>
      </c>
      <c r="K87">
        <v>84</v>
      </c>
      <c r="L87">
        <v>0</v>
      </c>
      <c r="M87">
        <v>163.74072910000001</v>
      </c>
      <c r="V87">
        <v>163.72485850000001</v>
      </c>
      <c r="W87">
        <v>163.74072910000001</v>
      </c>
      <c r="X87">
        <v>164.7407791</v>
      </c>
      <c r="Y87">
        <v>164.72420819999999</v>
      </c>
      <c r="Z87">
        <v>165.6742563</v>
      </c>
      <c r="AA87" t="s">
        <v>50</v>
      </c>
      <c r="AB87">
        <v>1</v>
      </c>
      <c r="AC87">
        <v>0.94028149999999999</v>
      </c>
      <c r="AD87" t="s">
        <v>44</v>
      </c>
      <c r="AE87">
        <v>0</v>
      </c>
      <c r="AJ87">
        <v>1</v>
      </c>
      <c r="AK87">
        <v>1</v>
      </c>
      <c r="AL87" t="s">
        <v>45</v>
      </c>
      <c r="AM87" t="s">
        <v>46</v>
      </c>
      <c r="AO87" t="s">
        <v>47</v>
      </c>
      <c r="AP87">
        <v>60.046968710000002</v>
      </c>
      <c r="AQ87" t="s">
        <v>48</v>
      </c>
    </row>
    <row r="88" spans="1:43" x14ac:dyDescent="0.35">
      <c r="A88">
        <v>85</v>
      </c>
      <c r="B88">
        <v>0</v>
      </c>
      <c r="C88">
        <v>85</v>
      </c>
      <c r="D88" t="s">
        <v>50</v>
      </c>
      <c r="E88">
        <v>1</v>
      </c>
      <c r="F88">
        <v>0.85930759999999995</v>
      </c>
      <c r="G88" t="s">
        <v>44</v>
      </c>
      <c r="H88">
        <v>0</v>
      </c>
      <c r="I88">
        <v>85</v>
      </c>
      <c r="J88">
        <v>0</v>
      </c>
      <c r="K88">
        <v>85</v>
      </c>
      <c r="L88">
        <v>0</v>
      </c>
      <c r="M88">
        <v>165.6904433</v>
      </c>
      <c r="V88">
        <v>165.67449020000001</v>
      </c>
      <c r="W88">
        <v>165.6904433</v>
      </c>
      <c r="X88">
        <v>166.69085799999999</v>
      </c>
      <c r="Y88">
        <v>166.67399560000001</v>
      </c>
      <c r="Z88">
        <v>167.5409813</v>
      </c>
      <c r="AA88" t="s">
        <v>50</v>
      </c>
      <c r="AB88">
        <v>1</v>
      </c>
      <c r="AC88">
        <v>0.85930759999999995</v>
      </c>
      <c r="AD88" t="s">
        <v>44</v>
      </c>
      <c r="AE88">
        <v>0</v>
      </c>
      <c r="AJ88">
        <v>1</v>
      </c>
      <c r="AK88">
        <v>1</v>
      </c>
      <c r="AL88" t="s">
        <v>45</v>
      </c>
      <c r="AM88" t="s">
        <v>46</v>
      </c>
      <c r="AO88" t="s">
        <v>47</v>
      </c>
      <c r="AP88">
        <v>60.046968710000002</v>
      </c>
      <c r="AQ88" t="s">
        <v>48</v>
      </c>
    </row>
    <row r="89" spans="1:43" x14ac:dyDescent="0.35">
      <c r="A89">
        <v>86</v>
      </c>
      <c r="B89">
        <v>0</v>
      </c>
      <c r="C89">
        <v>86</v>
      </c>
      <c r="D89" t="s">
        <v>49</v>
      </c>
      <c r="E89">
        <v>0</v>
      </c>
      <c r="F89">
        <v>0.70463690000000001</v>
      </c>
      <c r="G89" t="s">
        <v>44</v>
      </c>
      <c r="H89">
        <v>0</v>
      </c>
      <c r="I89">
        <v>86</v>
      </c>
      <c r="J89">
        <v>0</v>
      </c>
      <c r="K89">
        <v>86</v>
      </c>
      <c r="L89">
        <v>0</v>
      </c>
      <c r="M89">
        <v>167.55715050000001</v>
      </c>
      <c r="V89">
        <v>167.54123229999999</v>
      </c>
      <c r="W89">
        <v>167.55715050000001</v>
      </c>
      <c r="X89">
        <v>168.55740180000001</v>
      </c>
      <c r="Y89">
        <v>168.54068799999999</v>
      </c>
      <c r="Z89">
        <v>169.25753040000001</v>
      </c>
      <c r="AA89" t="s">
        <v>49</v>
      </c>
      <c r="AB89">
        <v>0</v>
      </c>
      <c r="AC89">
        <v>0.70463690000000001</v>
      </c>
      <c r="AD89" t="s">
        <v>44</v>
      </c>
      <c r="AE89">
        <v>0</v>
      </c>
      <c r="AJ89">
        <v>1</v>
      </c>
      <c r="AK89">
        <v>1</v>
      </c>
      <c r="AL89" t="s">
        <v>45</v>
      </c>
      <c r="AM89" t="s">
        <v>46</v>
      </c>
      <c r="AO89" t="s">
        <v>47</v>
      </c>
      <c r="AP89">
        <v>60.046968710000002</v>
      </c>
      <c r="AQ89" t="s">
        <v>48</v>
      </c>
    </row>
    <row r="90" spans="1:43" x14ac:dyDescent="0.35">
      <c r="A90">
        <v>87</v>
      </c>
      <c r="B90">
        <v>0</v>
      </c>
      <c r="C90">
        <v>87</v>
      </c>
      <c r="D90" t="s">
        <v>49</v>
      </c>
      <c r="E90">
        <v>0</v>
      </c>
      <c r="F90">
        <v>0.46101839999999999</v>
      </c>
      <c r="G90" t="s">
        <v>44</v>
      </c>
      <c r="H90">
        <v>0</v>
      </c>
      <c r="I90">
        <v>87</v>
      </c>
      <c r="J90">
        <v>0</v>
      </c>
      <c r="K90">
        <v>87</v>
      </c>
      <c r="L90">
        <v>0</v>
      </c>
      <c r="M90">
        <v>169.27389260000001</v>
      </c>
      <c r="V90">
        <v>169.25769249999999</v>
      </c>
      <c r="W90">
        <v>169.27389260000001</v>
      </c>
      <c r="X90">
        <v>170.27389719999999</v>
      </c>
      <c r="Y90">
        <v>170.25723959999999</v>
      </c>
      <c r="Z90">
        <v>170.72401139999999</v>
      </c>
      <c r="AA90" t="s">
        <v>49</v>
      </c>
      <c r="AB90">
        <v>0</v>
      </c>
      <c r="AC90">
        <v>0.46101839999999999</v>
      </c>
      <c r="AD90" t="s">
        <v>44</v>
      </c>
      <c r="AE90">
        <v>0</v>
      </c>
      <c r="AJ90">
        <v>1</v>
      </c>
      <c r="AK90">
        <v>1</v>
      </c>
      <c r="AL90" t="s">
        <v>45</v>
      </c>
      <c r="AM90" t="s">
        <v>46</v>
      </c>
      <c r="AO90" t="s">
        <v>47</v>
      </c>
      <c r="AP90">
        <v>60.046968710000002</v>
      </c>
      <c r="AQ90" t="s">
        <v>48</v>
      </c>
    </row>
    <row r="91" spans="1:43" x14ac:dyDescent="0.35">
      <c r="A91">
        <v>88</v>
      </c>
      <c r="B91">
        <v>0</v>
      </c>
      <c r="C91">
        <v>88</v>
      </c>
      <c r="D91" t="s">
        <v>49</v>
      </c>
      <c r="E91">
        <v>0</v>
      </c>
      <c r="F91">
        <v>0.41935509999999998</v>
      </c>
      <c r="G91" t="s">
        <v>44</v>
      </c>
      <c r="H91">
        <v>0</v>
      </c>
      <c r="I91">
        <v>88</v>
      </c>
      <c r="J91">
        <v>0</v>
      </c>
      <c r="K91">
        <v>88</v>
      </c>
      <c r="L91">
        <v>0</v>
      </c>
      <c r="M91">
        <v>170.74036699999999</v>
      </c>
      <c r="V91">
        <v>170.7241875</v>
      </c>
      <c r="W91">
        <v>170.74036699999999</v>
      </c>
      <c r="X91">
        <v>171.74061929999999</v>
      </c>
      <c r="Y91">
        <v>171.72399680000001</v>
      </c>
      <c r="Z91">
        <v>172.1572884</v>
      </c>
      <c r="AA91" t="s">
        <v>49</v>
      </c>
      <c r="AB91">
        <v>0</v>
      </c>
      <c r="AC91">
        <v>0.41935509999999998</v>
      </c>
      <c r="AD91" t="s">
        <v>44</v>
      </c>
      <c r="AE91">
        <v>0</v>
      </c>
      <c r="AJ91">
        <v>1</v>
      </c>
      <c r="AK91">
        <v>1</v>
      </c>
      <c r="AL91" t="s">
        <v>45</v>
      </c>
      <c r="AM91" t="s">
        <v>46</v>
      </c>
      <c r="AO91" t="s">
        <v>47</v>
      </c>
      <c r="AP91">
        <v>60.046968710000002</v>
      </c>
      <c r="AQ91" t="s">
        <v>48</v>
      </c>
    </row>
    <row r="92" spans="1:43" x14ac:dyDescent="0.35">
      <c r="A92">
        <v>89</v>
      </c>
      <c r="B92">
        <v>0</v>
      </c>
      <c r="C92">
        <v>89</v>
      </c>
      <c r="D92" t="s">
        <v>50</v>
      </c>
      <c r="E92">
        <v>0</v>
      </c>
      <c r="F92">
        <v>0.96424989999999999</v>
      </c>
      <c r="G92" t="s">
        <v>44</v>
      </c>
      <c r="H92">
        <v>2</v>
      </c>
      <c r="I92">
        <v>89</v>
      </c>
      <c r="J92">
        <v>0</v>
      </c>
      <c r="K92">
        <v>89</v>
      </c>
      <c r="L92">
        <v>0</v>
      </c>
      <c r="M92">
        <v>172.1737933</v>
      </c>
      <c r="V92">
        <v>172.15746200000001</v>
      </c>
      <c r="W92">
        <v>172.1737933</v>
      </c>
      <c r="X92">
        <v>173.17351780000001</v>
      </c>
      <c r="Y92">
        <v>173.1570734</v>
      </c>
      <c r="Z92">
        <v>174.12381139999999</v>
      </c>
      <c r="AA92" t="s">
        <v>50</v>
      </c>
      <c r="AB92">
        <v>0</v>
      </c>
      <c r="AC92">
        <v>0.96424989999999999</v>
      </c>
      <c r="AD92" t="s">
        <v>44</v>
      </c>
      <c r="AE92">
        <v>2</v>
      </c>
      <c r="AJ92">
        <v>1</v>
      </c>
      <c r="AK92">
        <v>1</v>
      </c>
      <c r="AL92" t="s">
        <v>45</v>
      </c>
      <c r="AM92" t="s">
        <v>46</v>
      </c>
      <c r="AO92" t="s">
        <v>47</v>
      </c>
      <c r="AP92">
        <v>60.046968710000002</v>
      </c>
      <c r="AQ92" t="s">
        <v>48</v>
      </c>
    </row>
    <row r="93" spans="1:43" x14ac:dyDescent="0.35">
      <c r="A93">
        <v>90</v>
      </c>
      <c r="B93">
        <v>0</v>
      </c>
      <c r="C93">
        <v>90</v>
      </c>
      <c r="D93" t="s">
        <v>50</v>
      </c>
      <c r="E93">
        <v>0</v>
      </c>
      <c r="F93">
        <v>0.81756439999999997</v>
      </c>
      <c r="G93" t="s">
        <v>44</v>
      </c>
      <c r="H93">
        <v>2</v>
      </c>
      <c r="I93">
        <v>90</v>
      </c>
      <c r="J93">
        <v>0</v>
      </c>
      <c r="K93">
        <v>90</v>
      </c>
      <c r="L93">
        <v>0</v>
      </c>
      <c r="M93">
        <v>174.1404101</v>
      </c>
      <c r="V93">
        <v>174.12403359999999</v>
      </c>
      <c r="W93">
        <v>174.1404101</v>
      </c>
      <c r="X93">
        <v>175.1402142</v>
      </c>
      <c r="Y93">
        <v>175.1235973</v>
      </c>
      <c r="Z93">
        <v>175.9572417</v>
      </c>
      <c r="AA93" t="s">
        <v>50</v>
      </c>
      <c r="AB93">
        <v>0</v>
      </c>
      <c r="AC93">
        <v>0.81756439999999997</v>
      </c>
      <c r="AD93" t="s">
        <v>44</v>
      </c>
      <c r="AE93">
        <v>2</v>
      </c>
      <c r="AJ93">
        <v>1</v>
      </c>
      <c r="AK93">
        <v>1</v>
      </c>
      <c r="AL93" t="s">
        <v>45</v>
      </c>
      <c r="AM93" t="s">
        <v>46</v>
      </c>
      <c r="AO93" t="s">
        <v>47</v>
      </c>
      <c r="AP93">
        <v>60.046968710000002</v>
      </c>
      <c r="AQ93" t="s">
        <v>48</v>
      </c>
    </row>
    <row r="94" spans="1:43" x14ac:dyDescent="0.35">
      <c r="A94">
        <v>91</v>
      </c>
      <c r="B94">
        <v>0</v>
      </c>
      <c r="C94">
        <v>91</v>
      </c>
      <c r="D94" t="s">
        <v>49</v>
      </c>
      <c r="E94">
        <v>0</v>
      </c>
      <c r="F94">
        <v>0.54640290000000002</v>
      </c>
      <c r="G94" t="s">
        <v>44</v>
      </c>
      <c r="H94">
        <v>0</v>
      </c>
      <c r="I94">
        <v>91</v>
      </c>
      <c r="J94">
        <v>0</v>
      </c>
      <c r="K94">
        <v>91</v>
      </c>
      <c r="L94">
        <v>0</v>
      </c>
      <c r="M94">
        <v>175.9733626</v>
      </c>
      <c r="V94">
        <v>175.9574135</v>
      </c>
      <c r="W94">
        <v>175.9733626</v>
      </c>
      <c r="X94">
        <v>176.97361459999999</v>
      </c>
      <c r="Y94">
        <v>176.95677269999999</v>
      </c>
      <c r="Z94">
        <v>177.5069282</v>
      </c>
      <c r="AA94" t="s">
        <v>49</v>
      </c>
      <c r="AB94">
        <v>0</v>
      </c>
      <c r="AC94">
        <v>0.54640290000000002</v>
      </c>
      <c r="AD94" t="s">
        <v>44</v>
      </c>
      <c r="AE94">
        <v>0</v>
      </c>
      <c r="AJ94">
        <v>1</v>
      </c>
      <c r="AK94">
        <v>1</v>
      </c>
      <c r="AL94" t="s">
        <v>45</v>
      </c>
      <c r="AM94" t="s">
        <v>46</v>
      </c>
      <c r="AO94" t="s">
        <v>47</v>
      </c>
      <c r="AP94">
        <v>60.046968710000002</v>
      </c>
      <c r="AQ94" t="s">
        <v>48</v>
      </c>
    </row>
    <row r="95" spans="1:43" x14ac:dyDescent="0.35">
      <c r="A95">
        <v>92</v>
      </c>
      <c r="B95">
        <v>0</v>
      </c>
      <c r="C95">
        <v>92</v>
      </c>
      <c r="D95" t="s">
        <v>50</v>
      </c>
      <c r="E95">
        <v>0</v>
      </c>
      <c r="F95">
        <v>0.63458769999999998</v>
      </c>
      <c r="G95" t="s">
        <v>44</v>
      </c>
      <c r="H95">
        <v>2</v>
      </c>
      <c r="I95">
        <v>92</v>
      </c>
      <c r="J95">
        <v>0</v>
      </c>
      <c r="K95">
        <v>92</v>
      </c>
      <c r="L95">
        <v>0</v>
      </c>
      <c r="M95">
        <v>177.5233198</v>
      </c>
      <c r="V95">
        <v>177.50710359999999</v>
      </c>
      <c r="W95">
        <v>177.5233198</v>
      </c>
      <c r="X95">
        <v>178.52346499999999</v>
      </c>
      <c r="Y95">
        <v>178.50697869999999</v>
      </c>
      <c r="Z95">
        <v>179.15697900000001</v>
      </c>
      <c r="AA95" t="s">
        <v>50</v>
      </c>
      <c r="AB95">
        <v>0</v>
      </c>
      <c r="AC95">
        <v>0.63458769999999998</v>
      </c>
      <c r="AD95" t="s">
        <v>44</v>
      </c>
      <c r="AE95">
        <v>2</v>
      </c>
      <c r="AJ95">
        <v>1</v>
      </c>
      <c r="AK95">
        <v>1</v>
      </c>
      <c r="AL95" t="s">
        <v>45</v>
      </c>
      <c r="AM95" t="s">
        <v>46</v>
      </c>
      <c r="AO95" t="s">
        <v>47</v>
      </c>
      <c r="AP95">
        <v>60.046968710000002</v>
      </c>
      <c r="AQ95" t="s">
        <v>48</v>
      </c>
    </row>
    <row r="96" spans="1:43" x14ac:dyDescent="0.35">
      <c r="A96">
        <v>93</v>
      </c>
      <c r="B96">
        <v>0</v>
      </c>
      <c r="C96">
        <v>93</v>
      </c>
      <c r="D96" t="s">
        <v>49</v>
      </c>
      <c r="E96">
        <v>1</v>
      </c>
      <c r="F96">
        <v>0.54037919999999995</v>
      </c>
      <c r="G96" t="s">
        <v>44</v>
      </c>
      <c r="H96">
        <v>-2</v>
      </c>
      <c r="I96">
        <v>93</v>
      </c>
      <c r="J96">
        <v>0</v>
      </c>
      <c r="K96">
        <v>93</v>
      </c>
      <c r="L96">
        <v>0</v>
      </c>
      <c r="M96">
        <v>179.17326370000001</v>
      </c>
      <c r="V96">
        <v>179.15717090000001</v>
      </c>
      <c r="W96">
        <v>179.17326370000001</v>
      </c>
      <c r="X96">
        <v>180.17330469999999</v>
      </c>
      <c r="Y96">
        <v>180.15678980000001</v>
      </c>
      <c r="Z96">
        <v>180.7069979</v>
      </c>
      <c r="AA96" t="s">
        <v>49</v>
      </c>
      <c r="AB96">
        <v>1</v>
      </c>
      <c r="AC96">
        <v>0.54037919999999995</v>
      </c>
      <c r="AD96" t="s">
        <v>44</v>
      </c>
      <c r="AE96">
        <v>-2</v>
      </c>
      <c r="AJ96">
        <v>1</v>
      </c>
      <c r="AK96">
        <v>1</v>
      </c>
      <c r="AL96" t="s">
        <v>45</v>
      </c>
      <c r="AM96" t="s">
        <v>46</v>
      </c>
      <c r="AO96" t="s">
        <v>47</v>
      </c>
      <c r="AP96">
        <v>60.046968710000002</v>
      </c>
      <c r="AQ96" t="s">
        <v>48</v>
      </c>
    </row>
    <row r="97" spans="1:43" x14ac:dyDescent="0.35">
      <c r="A97">
        <v>94</v>
      </c>
      <c r="B97">
        <v>0</v>
      </c>
      <c r="C97">
        <v>94</v>
      </c>
      <c r="D97" t="s">
        <v>49</v>
      </c>
      <c r="E97">
        <v>0</v>
      </c>
      <c r="F97">
        <v>1.1998222999999999</v>
      </c>
      <c r="G97" t="s">
        <v>44</v>
      </c>
      <c r="H97">
        <v>0</v>
      </c>
      <c r="I97">
        <v>94</v>
      </c>
      <c r="J97">
        <v>0</v>
      </c>
      <c r="K97">
        <v>94</v>
      </c>
      <c r="L97">
        <v>0</v>
      </c>
      <c r="M97">
        <v>180.72325789999999</v>
      </c>
      <c r="V97">
        <v>180.70719779999999</v>
      </c>
      <c r="W97">
        <v>180.72325789999999</v>
      </c>
      <c r="X97">
        <v>181.72330959999999</v>
      </c>
      <c r="Y97">
        <v>181.70665869999999</v>
      </c>
      <c r="Z97">
        <v>182.9234505</v>
      </c>
      <c r="AA97" t="s">
        <v>49</v>
      </c>
      <c r="AB97">
        <v>0</v>
      </c>
      <c r="AC97">
        <v>1.1998222999999999</v>
      </c>
      <c r="AD97" t="s">
        <v>44</v>
      </c>
      <c r="AE97">
        <v>0</v>
      </c>
      <c r="AJ97">
        <v>1</v>
      </c>
      <c r="AK97">
        <v>1</v>
      </c>
      <c r="AL97" t="s">
        <v>45</v>
      </c>
      <c r="AM97" t="s">
        <v>46</v>
      </c>
      <c r="AO97" t="s">
        <v>47</v>
      </c>
      <c r="AP97">
        <v>60.046968710000002</v>
      </c>
      <c r="AQ97" t="s">
        <v>48</v>
      </c>
    </row>
    <row r="98" spans="1:43" x14ac:dyDescent="0.35">
      <c r="A98">
        <v>95</v>
      </c>
      <c r="B98">
        <v>0</v>
      </c>
      <c r="C98">
        <v>95</v>
      </c>
      <c r="D98" t="s">
        <v>49</v>
      </c>
      <c r="E98">
        <v>0</v>
      </c>
      <c r="F98">
        <v>0.52366970000000002</v>
      </c>
      <c r="G98" t="s">
        <v>44</v>
      </c>
      <c r="H98">
        <v>0</v>
      </c>
      <c r="I98">
        <v>95</v>
      </c>
      <c r="J98">
        <v>0</v>
      </c>
      <c r="K98">
        <v>95</v>
      </c>
      <c r="L98">
        <v>0</v>
      </c>
      <c r="M98">
        <v>182.93988010000001</v>
      </c>
      <c r="V98">
        <v>182.92363750000001</v>
      </c>
      <c r="W98">
        <v>182.93988010000001</v>
      </c>
      <c r="X98">
        <v>183.9398674</v>
      </c>
      <c r="Y98">
        <v>183.92311939999999</v>
      </c>
      <c r="Z98">
        <v>184.4566863</v>
      </c>
      <c r="AA98" t="s">
        <v>49</v>
      </c>
      <c r="AB98">
        <v>0</v>
      </c>
      <c r="AC98">
        <v>0.52366970000000002</v>
      </c>
      <c r="AD98" t="s">
        <v>44</v>
      </c>
      <c r="AE98">
        <v>0</v>
      </c>
      <c r="AJ98">
        <v>1</v>
      </c>
      <c r="AK98">
        <v>1</v>
      </c>
      <c r="AL98" t="s">
        <v>45</v>
      </c>
      <c r="AM98" t="s">
        <v>46</v>
      </c>
      <c r="AO98" t="s">
        <v>47</v>
      </c>
      <c r="AP98">
        <v>60.046968710000002</v>
      </c>
      <c r="AQ98" t="s">
        <v>48</v>
      </c>
    </row>
    <row r="99" spans="1:43" x14ac:dyDescent="0.35">
      <c r="A99">
        <v>96</v>
      </c>
      <c r="B99">
        <v>0</v>
      </c>
      <c r="C99">
        <v>96</v>
      </c>
      <c r="D99" t="s">
        <v>49</v>
      </c>
      <c r="E99">
        <v>0</v>
      </c>
      <c r="F99">
        <v>0.46829929999999997</v>
      </c>
      <c r="G99" t="s">
        <v>44</v>
      </c>
      <c r="H99">
        <v>0</v>
      </c>
      <c r="I99">
        <v>96</v>
      </c>
      <c r="J99">
        <v>0</v>
      </c>
      <c r="K99">
        <v>96</v>
      </c>
      <c r="L99">
        <v>0</v>
      </c>
      <c r="M99">
        <v>184.47306570000001</v>
      </c>
      <c r="V99">
        <v>184.45684069999999</v>
      </c>
      <c r="W99">
        <v>184.47306570000001</v>
      </c>
      <c r="X99">
        <v>185.47286919999999</v>
      </c>
      <c r="Y99">
        <v>185.4565604</v>
      </c>
      <c r="Z99">
        <v>185.9396041</v>
      </c>
      <c r="AA99" t="s">
        <v>49</v>
      </c>
      <c r="AB99">
        <v>0</v>
      </c>
      <c r="AC99">
        <v>0.46829929999999997</v>
      </c>
      <c r="AD99" t="s">
        <v>44</v>
      </c>
      <c r="AE99">
        <v>0</v>
      </c>
      <c r="AJ99">
        <v>1</v>
      </c>
      <c r="AK99">
        <v>1</v>
      </c>
      <c r="AL99" t="s">
        <v>45</v>
      </c>
      <c r="AM99" t="s">
        <v>46</v>
      </c>
      <c r="AO99" t="s">
        <v>47</v>
      </c>
      <c r="AP99">
        <v>60.046968710000002</v>
      </c>
      <c r="AQ99" t="s">
        <v>48</v>
      </c>
    </row>
    <row r="100" spans="1:43" x14ac:dyDescent="0.35">
      <c r="A100">
        <v>97</v>
      </c>
      <c r="B100">
        <v>0</v>
      </c>
      <c r="C100">
        <v>97</v>
      </c>
      <c r="D100" t="s">
        <v>49</v>
      </c>
      <c r="E100">
        <v>0</v>
      </c>
      <c r="F100">
        <v>0.42830289999999999</v>
      </c>
      <c r="G100" t="s">
        <v>44</v>
      </c>
      <c r="H100">
        <v>0</v>
      </c>
      <c r="I100">
        <v>97</v>
      </c>
      <c r="J100">
        <v>0</v>
      </c>
      <c r="K100">
        <v>97</v>
      </c>
      <c r="L100">
        <v>0</v>
      </c>
      <c r="M100">
        <v>185.9562665</v>
      </c>
      <c r="V100">
        <v>185.93977849999999</v>
      </c>
      <c r="W100">
        <v>185.9562665</v>
      </c>
      <c r="X100">
        <v>186.9563292</v>
      </c>
      <c r="Y100">
        <v>186.9396496</v>
      </c>
      <c r="Z100">
        <v>187.3731004</v>
      </c>
      <c r="AA100" t="s">
        <v>49</v>
      </c>
      <c r="AB100">
        <v>0</v>
      </c>
      <c r="AC100">
        <v>0.42830289999999999</v>
      </c>
      <c r="AD100" t="s">
        <v>44</v>
      </c>
      <c r="AE100">
        <v>0</v>
      </c>
      <c r="AJ100">
        <v>1</v>
      </c>
      <c r="AK100">
        <v>1</v>
      </c>
      <c r="AL100" t="s">
        <v>45</v>
      </c>
      <c r="AM100" t="s">
        <v>46</v>
      </c>
      <c r="AO100" t="s">
        <v>47</v>
      </c>
      <c r="AP100">
        <v>60.046968710000002</v>
      </c>
      <c r="AQ100" t="s">
        <v>48</v>
      </c>
    </row>
    <row r="101" spans="1:43" x14ac:dyDescent="0.35">
      <c r="A101">
        <v>98</v>
      </c>
      <c r="B101">
        <v>0</v>
      </c>
      <c r="C101">
        <v>98</v>
      </c>
      <c r="D101" t="s">
        <v>49</v>
      </c>
      <c r="E101">
        <v>1</v>
      </c>
      <c r="F101">
        <v>0.44980229999999999</v>
      </c>
      <c r="G101" t="s">
        <v>44</v>
      </c>
      <c r="H101">
        <v>-2</v>
      </c>
      <c r="I101">
        <v>98</v>
      </c>
      <c r="J101">
        <v>0</v>
      </c>
      <c r="K101">
        <v>98</v>
      </c>
      <c r="L101">
        <v>0</v>
      </c>
      <c r="M101">
        <v>187.3895225</v>
      </c>
      <c r="V101">
        <v>187.37327149999999</v>
      </c>
      <c r="W101">
        <v>187.3895225</v>
      </c>
      <c r="X101">
        <v>188.38977990000001</v>
      </c>
      <c r="Y101">
        <v>188.37288269999999</v>
      </c>
      <c r="Z101">
        <v>188.83978200000001</v>
      </c>
      <c r="AA101" t="s">
        <v>49</v>
      </c>
      <c r="AB101">
        <v>1</v>
      </c>
      <c r="AC101">
        <v>0.44980229999999999</v>
      </c>
      <c r="AD101" t="s">
        <v>44</v>
      </c>
      <c r="AE101">
        <v>-2</v>
      </c>
      <c r="AJ101">
        <v>1</v>
      </c>
      <c r="AK101">
        <v>1</v>
      </c>
      <c r="AL101" t="s">
        <v>45</v>
      </c>
      <c r="AM101" t="s">
        <v>46</v>
      </c>
      <c r="AO101" t="s">
        <v>47</v>
      </c>
      <c r="AP101">
        <v>60.046968710000002</v>
      </c>
      <c r="AQ101" t="s">
        <v>48</v>
      </c>
    </row>
    <row r="102" spans="1:43" x14ac:dyDescent="0.35">
      <c r="A102">
        <v>99</v>
      </c>
      <c r="B102">
        <v>0</v>
      </c>
      <c r="C102">
        <v>99</v>
      </c>
      <c r="D102" t="s">
        <v>49</v>
      </c>
      <c r="E102">
        <v>0</v>
      </c>
      <c r="F102">
        <v>0.41550369999999998</v>
      </c>
      <c r="G102" t="s">
        <v>44</v>
      </c>
      <c r="H102">
        <v>0</v>
      </c>
      <c r="I102">
        <v>99</v>
      </c>
      <c r="J102">
        <v>0</v>
      </c>
      <c r="K102">
        <v>99</v>
      </c>
      <c r="L102">
        <v>0</v>
      </c>
      <c r="M102">
        <v>188.85612309999999</v>
      </c>
      <c r="V102">
        <v>188.83993950000001</v>
      </c>
      <c r="W102">
        <v>188.85612309999999</v>
      </c>
      <c r="X102">
        <v>189.8561862</v>
      </c>
      <c r="Y102">
        <v>189.83945270000001</v>
      </c>
      <c r="Z102">
        <v>190.25640910000001</v>
      </c>
      <c r="AA102" t="s">
        <v>49</v>
      </c>
      <c r="AB102">
        <v>0</v>
      </c>
      <c r="AC102">
        <v>0.41550369999999998</v>
      </c>
      <c r="AD102" t="s">
        <v>44</v>
      </c>
      <c r="AE102">
        <v>0</v>
      </c>
      <c r="AJ102">
        <v>1</v>
      </c>
      <c r="AK102">
        <v>1</v>
      </c>
      <c r="AL102" t="s">
        <v>45</v>
      </c>
      <c r="AM102" t="s">
        <v>46</v>
      </c>
      <c r="AO102" t="s">
        <v>47</v>
      </c>
      <c r="AP102">
        <v>60.046968710000002</v>
      </c>
      <c r="AQ102" t="s">
        <v>48</v>
      </c>
    </row>
    <row r="103" spans="1:43" x14ac:dyDescent="0.35">
      <c r="AF103">
        <v>190.2565323</v>
      </c>
      <c r="AG103">
        <v>190.2727697</v>
      </c>
      <c r="AH103">
        <v>192.27258130000001</v>
      </c>
      <c r="AI103">
        <v>192.2561206</v>
      </c>
      <c r="AJ103">
        <v>1</v>
      </c>
      <c r="AK103">
        <v>1</v>
      </c>
      <c r="AL103" t="s">
        <v>45</v>
      </c>
      <c r="AM103" t="s">
        <v>46</v>
      </c>
      <c r="AO103" t="s">
        <v>47</v>
      </c>
      <c r="AP103">
        <v>60.046968710000002</v>
      </c>
      <c r="AQ10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6B02A-E92C-4221-A9B9-4D52028A8C1E}">
  <dimension ref="A1:M101"/>
  <sheetViews>
    <sheetView tabSelected="1" zoomScale="83" workbookViewId="0">
      <selection activeCell="K15" sqref="K15"/>
    </sheetView>
  </sheetViews>
  <sheetFormatPr defaultRowHeight="14.5" x14ac:dyDescent="0.35"/>
  <cols>
    <col min="1" max="1" width="13.26953125" customWidth="1"/>
    <col min="2" max="2" width="14.7265625" customWidth="1"/>
    <col min="6" max="6" width="10.7265625" customWidth="1"/>
    <col min="7" max="7" width="15.08984375" customWidth="1"/>
    <col min="10" max="10" width="15.81640625" customWidth="1"/>
    <col min="13" max="13" width="56.6328125" customWidth="1"/>
  </cols>
  <sheetData>
    <row r="1" spans="1:13" x14ac:dyDescent="0.35">
      <c r="A1" s="2" t="s">
        <v>3</v>
      </c>
      <c r="B1" s="2" t="s">
        <v>4</v>
      </c>
      <c r="C1" s="2" t="s">
        <v>7</v>
      </c>
      <c r="D1" s="2" t="s">
        <v>57</v>
      </c>
      <c r="E1" s="2" t="s">
        <v>58</v>
      </c>
      <c r="F1" s="2" t="s">
        <v>74</v>
      </c>
      <c r="G1" s="2" t="s">
        <v>59</v>
      </c>
      <c r="J1" s="4" t="s">
        <v>73</v>
      </c>
      <c r="M1" s="4" t="s">
        <v>66</v>
      </c>
    </row>
    <row r="2" spans="1:13" x14ac:dyDescent="0.35">
      <c r="A2" s="2" t="s">
        <v>49</v>
      </c>
      <c r="B2" s="2">
        <v>1</v>
      </c>
      <c r="C2" s="2">
        <v>1</v>
      </c>
      <c r="D2" s="2"/>
      <c r="E2" s="2"/>
      <c r="F2" s="2"/>
      <c r="G2" s="2">
        <v>1</v>
      </c>
    </row>
    <row r="3" spans="1:13" x14ac:dyDescent="0.35">
      <c r="A3" s="2" t="s">
        <v>49</v>
      </c>
      <c r="B3" s="2">
        <v>1</v>
      </c>
      <c r="C3" s="2">
        <v>1</v>
      </c>
      <c r="D3" s="2"/>
      <c r="E3" s="2"/>
      <c r="F3" s="2"/>
      <c r="G3" s="2">
        <v>1</v>
      </c>
      <c r="J3" s="3" t="s">
        <v>62</v>
      </c>
      <c r="K3" s="3" t="s">
        <v>63</v>
      </c>
      <c r="M3" s="1" t="s">
        <v>51</v>
      </c>
    </row>
    <row r="4" spans="1:13" x14ac:dyDescent="0.35">
      <c r="A4" s="2" t="s">
        <v>49</v>
      </c>
      <c r="B4" s="2">
        <v>1</v>
      </c>
      <c r="C4" s="2">
        <v>2</v>
      </c>
      <c r="D4" s="2"/>
      <c r="E4" s="2"/>
      <c r="F4" s="2"/>
      <c r="G4" s="2">
        <v>1</v>
      </c>
      <c r="J4" s="3" t="s">
        <v>55</v>
      </c>
      <c r="K4" s="2">
        <f>SUM(D2:D101)</f>
        <v>25</v>
      </c>
    </row>
    <row r="5" spans="1:13" x14ac:dyDescent="0.35">
      <c r="A5" s="2" t="s">
        <v>49</v>
      </c>
      <c r="B5" s="2">
        <v>1</v>
      </c>
      <c r="C5" s="2">
        <v>-5</v>
      </c>
      <c r="D5" s="2"/>
      <c r="E5" s="2"/>
      <c r="F5" s="2"/>
      <c r="G5" s="2">
        <v>1</v>
      </c>
      <c r="J5" s="3" t="s">
        <v>60</v>
      </c>
      <c r="K5" s="2">
        <f>SUM(E2:E101)</f>
        <v>22</v>
      </c>
      <c r="M5" s="1" t="s">
        <v>52</v>
      </c>
    </row>
    <row r="6" spans="1:13" x14ac:dyDescent="0.35">
      <c r="A6" s="2" t="s">
        <v>49</v>
      </c>
      <c r="B6" s="2">
        <v>1</v>
      </c>
      <c r="C6" s="2">
        <v>-2</v>
      </c>
      <c r="D6" s="2"/>
      <c r="E6" s="2"/>
      <c r="F6" s="2"/>
      <c r="G6" s="2">
        <v>1</v>
      </c>
      <c r="J6" s="3" t="s">
        <v>61</v>
      </c>
      <c r="K6" s="2">
        <f>SUM(F2:F101)</f>
        <v>10</v>
      </c>
    </row>
    <row r="7" spans="1:13" x14ac:dyDescent="0.35">
      <c r="A7" s="2" t="s">
        <v>49</v>
      </c>
      <c r="B7" s="2">
        <v>1</v>
      </c>
      <c r="C7" s="2">
        <v>4</v>
      </c>
      <c r="D7" s="2"/>
      <c r="E7" s="2"/>
      <c r="F7" s="2"/>
      <c r="G7" s="2">
        <v>1</v>
      </c>
      <c r="J7" s="3" t="s">
        <v>56</v>
      </c>
      <c r="K7" s="2">
        <f>SUM(G2:G101)</f>
        <v>43</v>
      </c>
      <c r="M7" s="1" t="s">
        <v>53</v>
      </c>
    </row>
    <row r="8" spans="1:13" x14ac:dyDescent="0.35">
      <c r="A8" s="2" t="s">
        <v>49</v>
      </c>
      <c r="B8" s="2">
        <v>1</v>
      </c>
      <c r="C8" s="2">
        <v>4</v>
      </c>
      <c r="D8" s="2"/>
      <c r="E8" s="2"/>
      <c r="F8" s="2"/>
      <c r="G8" s="2">
        <v>1</v>
      </c>
    </row>
    <row r="9" spans="1:13" x14ac:dyDescent="0.35">
      <c r="A9" s="2" t="s">
        <v>49</v>
      </c>
      <c r="B9" s="2">
        <v>0</v>
      </c>
      <c r="C9" s="2">
        <v>0</v>
      </c>
      <c r="D9" s="2"/>
      <c r="E9" s="2">
        <v>1</v>
      </c>
      <c r="F9" s="2"/>
      <c r="G9" s="2"/>
      <c r="J9" s="3" t="s">
        <v>67</v>
      </c>
      <c r="K9" s="2">
        <f>(K4)/(K4+K5)</f>
        <v>0.53191489361702127</v>
      </c>
      <c r="M9" s="1" t="s">
        <v>54</v>
      </c>
    </row>
    <row r="10" spans="1:13" x14ac:dyDescent="0.35">
      <c r="A10" s="2" t="s">
        <v>49</v>
      </c>
      <c r="B10" s="2">
        <v>1</v>
      </c>
      <c r="C10" s="2">
        <v>1</v>
      </c>
      <c r="D10" s="2"/>
      <c r="E10" s="2"/>
      <c r="F10" s="2"/>
      <c r="G10" s="2">
        <v>1</v>
      </c>
      <c r="J10" s="3" t="s">
        <v>68</v>
      </c>
      <c r="K10" s="2">
        <f>(K6)/(K6+K7)</f>
        <v>0.18867924528301888</v>
      </c>
    </row>
    <row r="11" spans="1:13" x14ac:dyDescent="0.35">
      <c r="A11" s="2" t="s">
        <v>49</v>
      </c>
      <c r="B11" s="2">
        <v>1</v>
      </c>
      <c r="C11" s="2">
        <v>-4</v>
      </c>
      <c r="D11" s="2"/>
      <c r="E11" s="2"/>
      <c r="F11" s="2"/>
      <c r="G11" s="2">
        <v>1</v>
      </c>
      <c r="J11" s="1"/>
      <c r="M11" t="s">
        <v>64</v>
      </c>
    </row>
    <row r="12" spans="1:13" x14ac:dyDescent="0.35">
      <c r="A12" s="2" t="s">
        <v>49</v>
      </c>
      <c r="B12" s="2">
        <v>1</v>
      </c>
      <c r="C12" s="2">
        <v>-3</v>
      </c>
      <c r="D12" s="2"/>
      <c r="E12" s="2"/>
      <c r="F12" s="2"/>
      <c r="G12" s="2">
        <v>1</v>
      </c>
      <c r="J12" s="3" t="s">
        <v>71</v>
      </c>
      <c r="K12" s="2">
        <f>NORMSINV(K9)-NORMSINV(K10)</f>
        <v>0.96285811131413002</v>
      </c>
      <c r="M12" t="s">
        <v>65</v>
      </c>
    </row>
    <row r="13" spans="1:13" x14ac:dyDescent="0.35">
      <c r="A13" s="2" t="s">
        <v>49</v>
      </c>
      <c r="B13" s="2">
        <v>1</v>
      </c>
      <c r="C13" s="2">
        <v>1</v>
      </c>
      <c r="D13" s="2"/>
      <c r="E13" s="2"/>
      <c r="F13" s="2"/>
      <c r="G13" s="2">
        <v>1</v>
      </c>
      <c r="J13" s="3" t="s">
        <v>72</v>
      </c>
      <c r="K13" s="2">
        <f>-((NORMSINV(K9)+NORMSINV(K10))/2)</f>
        <v>0.40134475986025192</v>
      </c>
    </row>
    <row r="14" spans="1:13" x14ac:dyDescent="0.35">
      <c r="A14" s="2" t="s">
        <v>49</v>
      </c>
      <c r="B14" s="2">
        <v>1</v>
      </c>
      <c r="C14" s="2">
        <v>-3</v>
      </c>
      <c r="D14" s="2"/>
      <c r="E14" s="2"/>
      <c r="F14" s="2"/>
      <c r="G14" s="2">
        <v>1</v>
      </c>
      <c r="M14" t="s">
        <v>69</v>
      </c>
    </row>
    <row r="15" spans="1:13" x14ac:dyDescent="0.35">
      <c r="A15" s="2" t="s">
        <v>49</v>
      </c>
      <c r="B15" s="2">
        <v>1</v>
      </c>
      <c r="C15" s="2">
        <v>2</v>
      </c>
      <c r="D15" s="2"/>
      <c r="E15" s="2"/>
      <c r="F15" s="2"/>
      <c r="G15" s="2">
        <v>1</v>
      </c>
      <c r="M15" t="s">
        <v>70</v>
      </c>
    </row>
    <row r="16" spans="1:13" x14ac:dyDescent="0.35">
      <c r="A16" s="2" t="s">
        <v>49</v>
      </c>
      <c r="B16" s="2">
        <v>1</v>
      </c>
      <c r="C16" s="2">
        <v>-5</v>
      </c>
      <c r="D16" s="2"/>
      <c r="E16" s="2"/>
      <c r="F16" s="2"/>
      <c r="G16" s="2">
        <v>1</v>
      </c>
    </row>
    <row r="17" spans="1:7" x14ac:dyDescent="0.35">
      <c r="A17" s="2" t="s">
        <v>49</v>
      </c>
      <c r="B17" s="2">
        <v>0</v>
      </c>
      <c r="C17" s="2">
        <v>0</v>
      </c>
      <c r="D17" s="2"/>
      <c r="E17" s="2">
        <v>1</v>
      </c>
      <c r="F17" s="2"/>
      <c r="G17" s="2"/>
    </row>
    <row r="18" spans="1:7" x14ac:dyDescent="0.35">
      <c r="A18" s="2" t="s">
        <v>49</v>
      </c>
      <c r="B18" s="2">
        <v>1</v>
      </c>
      <c r="C18" s="2">
        <v>-3</v>
      </c>
      <c r="D18" s="2"/>
      <c r="E18" s="2"/>
      <c r="F18" s="2"/>
      <c r="G18" s="2">
        <v>1</v>
      </c>
    </row>
    <row r="19" spans="1:7" x14ac:dyDescent="0.35">
      <c r="A19" s="2" t="s">
        <v>49</v>
      </c>
      <c r="B19" s="2">
        <v>1</v>
      </c>
      <c r="C19" s="2">
        <v>-2</v>
      </c>
      <c r="D19" s="2"/>
      <c r="E19" s="2"/>
      <c r="F19" s="2"/>
      <c r="G19" s="2">
        <v>1</v>
      </c>
    </row>
    <row r="20" spans="1:7" x14ac:dyDescent="0.35">
      <c r="A20" s="2" t="s">
        <v>49</v>
      </c>
      <c r="B20" s="2">
        <v>1</v>
      </c>
      <c r="C20" s="2">
        <v>-5</v>
      </c>
      <c r="D20" s="2"/>
      <c r="E20" s="2"/>
      <c r="F20" s="2"/>
      <c r="G20" s="2">
        <v>1</v>
      </c>
    </row>
    <row r="21" spans="1:7" x14ac:dyDescent="0.35">
      <c r="A21" s="2" t="s">
        <v>49</v>
      </c>
      <c r="B21" s="2">
        <v>0</v>
      </c>
      <c r="C21" s="2">
        <v>0</v>
      </c>
      <c r="D21" s="2"/>
      <c r="E21" s="2">
        <v>1</v>
      </c>
      <c r="F21" s="2"/>
      <c r="G21" s="2"/>
    </row>
    <row r="22" spans="1:7" x14ac:dyDescent="0.35">
      <c r="A22" s="2" t="s">
        <v>49</v>
      </c>
      <c r="B22" s="2">
        <v>1</v>
      </c>
      <c r="C22" s="2">
        <v>1</v>
      </c>
      <c r="D22" s="2"/>
      <c r="E22" s="2"/>
      <c r="F22" s="2"/>
      <c r="G22" s="2">
        <v>1</v>
      </c>
    </row>
    <row r="23" spans="1:7" x14ac:dyDescent="0.35">
      <c r="A23" s="2" t="s">
        <v>49</v>
      </c>
      <c r="B23" s="2">
        <v>1</v>
      </c>
      <c r="C23" s="2">
        <v>-2</v>
      </c>
      <c r="D23" s="2"/>
      <c r="E23" s="2"/>
      <c r="F23" s="2"/>
      <c r="G23" s="2">
        <v>1</v>
      </c>
    </row>
    <row r="24" spans="1:7" x14ac:dyDescent="0.35">
      <c r="A24" s="2" t="s">
        <v>49</v>
      </c>
      <c r="B24" s="2">
        <v>1</v>
      </c>
      <c r="C24" s="2">
        <v>-2</v>
      </c>
      <c r="D24" s="2"/>
      <c r="E24" s="2"/>
      <c r="F24" s="2"/>
      <c r="G24" s="2">
        <v>1</v>
      </c>
    </row>
    <row r="25" spans="1:7" x14ac:dyDescent="0.35">
      <c r="A25" s="2" t="s">
        <v>49</v>
      </c>
      <c r="B25" s="2">
        <v>0</v>
      </c>
      <c r="C25" s="2">
        <v>0</v>
      </c>
      <c r="D25" s="2"/>
      <c r="E25" s="2">
        <v>1</v>
      </c>
      <c r="F25" s="2"/>
      <c r="G25" s="2"/>
    </row>
    <row r="26" spans="1:7" x14ac:dyDescent="0.35">
      <c r="A26" s="2" t="s">
        <v>49</v>
      </c>
      <c r="B26" s="2">
        <v>1</v>
      </c>
      <c r="C26" s="2">
        <v>3</v>
      </c>
      <c r="D26" s="2"/>
      <c r="E26" s="2"/>
      <c r="F26" s="2"/>
      <c r="G26" s="2">
        <v>1</v>
      </c>
    </row>
    <row r="27" spans="1:7" x14ac:dyDescent="0.35">
      <c r="A27" s="2" t="s">
        <v>49</v>
      </c>
      <c r="B27" s="2">
        <v>1</v>
      </c>
      <c r="C27" s="2">
        <v>-5</v>
      </c>
      <c r="D27" s="2"/>
      <c r="E27" s="2"/>
      <c r="F27" s="2"/>
      <c r="G27" s="2">
        <v>1</v>
      </c>
    </row>
    <row r="28" spans="1:7" x14ac:dyDescent="0.35">
      <c r="A28" s="2" t="s">
        <v>49</v>
      </c>
      <c r="B28" s="2">
        <v>1</v>
      </c>
      <c r="C28" s="2">
        <v>-5</v>
      </c>
      <c r="D28" s="2"/>
      <c r="E28" s="2"/>
      <c r="F28" s="2"/>
      <c r="G28" s="2">
        <v>1</v>
      </c>
    </row>
    <row r="29" spans="1:7" x14ac:dyDescent="0.35">
      <c r="A29" s="2" t="s">
        <v>49</v>
      </c>
      <c r="B29" s="2">
        <v>0</v>
      </c>
      <c r="C29" s="2">
        <v>0</v>
      </c>
      <c r="D29" s="2"/>
      <c r="E29" s="2">
        <v>1</v>
      </c>
      <c r="F29" s="2"/>
      <c r="G29" s="2"/>
    </row>
    <row r="30" spans="1:7" x14ac:dyDescent="0.35">
      <c r="A30" s="2" t="s">
        <v>49</v>
      </c>
      <c r="B30" s="2">
        <v>0</v>
      </c>
      <c r="C30" s="2">
        <v>0</v>
      </c>
      <c r="D30" s="2"/>
      <c r="E30" s="2">
        <v>1</v>
      </c>
      <c r="F30" s="2"/>
      <c r="G30" s="2"/>
    </row>
    <row r="31" spans="1:7" x14ac:dyDescent="0.35">
      <c r="A31" s="2" t="s">
        <v>49</v>
      </c>
      <c r="B31" s="2">
        <v>0</v>
      </c>
      <c r="C31" s="2">
        <v>0</v>
      </c>
      <c r="D31" s="2"/>
      <c r="E31" s="2">
        <v>1</v>
      </c>
      <c r="F31" s="2"/>
      <c r="G31" s="2"/>
    </row>
    <row r="32" spans="1:7" x14ac:dyDescent="0.35">
      <c r="A32" s="2" t="s">
        <v>49</v>
      </c>
      <c r="B32" s="2">
        <v>1</v>
      </c>
      <c r="C32" s="2">
        <v>-2</v>
      </c>
      <c r="D32" s="2"/>
      <c r="E32" s="2"/>
      <c r="F32" s="2"/>
      <c r="G32" s="2">
        <v>1</v>
      </c>
    </row>
    <row r="33" spans="1:7" x14ac:dyDescent="0.35">
      <c r="A33" s="2" t="s">
        <v>49</v>
      </c>
      <c r="B33" s="2">
        <v>0</v>
      </c>
      <c r="C33" s="2">
        <v>0</v>
      </c>
      <c r="D33" s="2"/>
      <c r="E33" s="2">
        <v>1</v>
      </c>
      <c r="F33" s="2"/>
      <c r="G33" s="2"/>
    </row>
    <row r="34" spans="1:7" x14ac:dyDescent="0.35">
      <c r="A34" s="2" t="s">
        <v>49</v>
      </c>
      <c r="B34" s="2">
        <v>1</v>
      </c>
      <c r="C34" s="2">
        <v>-3</v>
      </c>
      <c r="D34" s="2"/>
      <c r="E34" s="2"/>
      <c r="F34" s="2"/>
      <c r="G34" s="2">
        <v>1</v>
      </c>
    </row>
    <row r="35" spans="1:7" x14ac:dyDescent="0.35">
      <c r="A35" s="2" t="s">
        <v>49</v>
      </c>
      <c r="B35" s="2">
        <v>1</v>
      </c>
      <c r="C35" s="2">
        <v>2</v>
      </c>
      <c r="D35" s="2"/>
      <c r="E35" s="2"/>
      <c r="F35" s="2"/>
      <c r="G35" s="2">
        <v>1</v>
      </c>
    </row>
    <row r="36" spans="1:7" x14ac:dyDescent="0.35">
      <c r="A36" s="2" t="s">
        <v>49</v>
      </c>
      <c r="B36" s="2">
        <v>1</v>
      </c>
      <c r="C36" s="2">
        <v>3</v>
      </c>
      <c r="D36" s="2"/>
      <c r="E36" s="2"/>
      <c r="F36" s="2"/>
      <c r="G36" s="2">
        <v>1</v>
      </c>
    </row>
    <row r="37" spans="1:7" x14ac:dyDescent="0.35">
      <c r="A37" s="2" t="s">
        <v>49</v>
      </c>
      <c r="B37" s="2">
        <v>1</v>
      </c>
      <c r="C37" s="2">
        <v>3</v>
      </c>
      <c r="D37" s="2"/>
      <c r="E37" s="2"/>
      <c r="F37" s="2"/>
      <c r="G37" s="2">
        <v>1</v>
      </c>
    </row>
    <row r="38" spans="1:7" x14ac:dyDescent="0.35">
      <c r="A38" s="2" t="s">
        <v>49</v>
      </c>
      <c r="B38" s="2">
        <v>1</v>
      </c>
      <c r="C38" s="2">
        <v>-4</v>
      </c>
      <c r="D38" s="2"/>
      <c r="E38" s="2"/>
      <c r="F38" s="2"/>
      <c r="G38" s="2">
        <v>1</v>
      </c>
    </row>
    <row r="39" spans="1:7" x14ac:dyDescent="0.35">
      <c r="A39" s="2" t="s">
        <v>49</v>
      </c>
      <c r="B39" s="2">
        <v>1</v>
      </c>
      <c r="C39" s="2">
        <v>2</v>
      </c>
      <c r="D39" s="2"/>
      <c r="E39" s="2"/>
      <c r="F39" s="2"/>
      <c r="G39" s="2">
        <v>1</v>
      </c>
    </row>
    <row r="40" spans="1:7" x14ac:dyDescent="0.35">
      <c r="A40" s="2" t="s">
        <v>49</v>
      </c>
      <c r="B40" s="2">
        <v>0</v>
      </c>
      <c r="C40" s="2">
        <v>0</v>
      </c>
      <c r="D40" s="2"/>
      <c r="E40" s="2">
        <v>1</v>
      </c>
      <c r="F40" s="2"/>
      <c r="G40" s="2"/>
    </row>
    <row r="41" spans="1:7" x14ac:dyDescent="0.35">
      <c r="A41" s="2" t="s">
        <v>49</v>
      </c>
      <c r="B41" s="2">
        <v>0</v>
      </c>
      <c r="C41" s="2">
        <v>0</v>
      </c>
      <c r="D41" s="2"/>
      <c r="E41" s="2">
        <v>1</v>
      </c>
      <c r="F41" s="2"/>
      <c r="G41" s="2"/>
    </row>
    <row r="42" spans="1:7" x14ac:dyDescent="0.35">
      <c r="A42" s="2" t="s">
        <v>49</v>
      </c>
      <c r="B42" s="2">
        <v>0</v>
      </c>
      <c r="C42" s="2">
        <v>0</v>
      </c>
      <c r="D42" s="2"/>
      <c r="E42" s="2">
        <v>1</v>
      </c>
      <c r="F42" s="2"/>
      <c r="G42" s="2"/>
    </row>
    <row r="43" spans="1:7" x14ac:dyDescent="0.35">
      <c r="A43" s="2" t="s">
        <v>49</v>
      </c>
      <c r="B43" s="2">
        <v>0</v>
      </c>
      <c r="C43" s="2">
        <v>0</v>
      </c>
      <c r="D43" s="2"/>
      <c r="E43" s="2">
        <v>1</v>
      </c>
      <c r="F43" s="2"/>
      <c r="G43" s="2"/>
    </row>
    <row r="44" spans="1:7" x14ac:dyDescent="0.35">
      <c r="A44" s="2" t="s">
        <v>49</v>
      </c>
      <c r="B44" s="2">
        <v>1</v>
      </c>
      <c r="C44" s="2">
        <v>-4</v>
      </c>
      <c r="D44" s="2"/>
      <c r="E44" s="2"/>
      <c r="F44" s="2"/>
      <c r="G44" s="2">
        <v>1</v>
      </c>
    </row>
    <row r="45" spans="1:7" x14ac:dyDescent="0.35">
      <c r="A45" s="2" t="s">
        <v>49</v>
      </c>
      <c r="B45" s="2">
        <v>0</v>
      </c>
      <c r="C45" s="2">
        <v>0</v>
      </c>
      <c r="D45" s="2"/>
      <c r="E45" s="2">
        <v>1</v>
      </c>
      <c r="F45" s="2"/>
      <c r="G45" s="2"/>
    </row>
    <row r="46" spans="1:7" x14ac:dyDescent="0.35">
      <c r="A46" s="2" t="s">
        <v>49</v>
      </c>
      <c r="B46" s="2">
        <v>1</v>
      </c>
      <c r="C46" s="2">
        <v>-5</v>
      </c>
      <c r="D46" s="2"/>
      <c r="E46" s="2"/>
      <c r="F46" s="2"/>
      <c r="G46" s="2">
        <v>1</v>
      </c>
    </row>
    <row r="47" spans="1:7" x14ac:dyDescent="0.35">
      <c r="A47" s="2" t="s">
        <v>49</v>
      </c>
      <c r="B47" s="2">
        <v>1</v>
      </c>
      <c r="C47" s="2">
        <v>3</v>
      </c>
      <c r="D47" s="2"/>
      <c r="E47" s="2"/>
      <c r="F47" s="2"/>
      <c r="G47" s="2">
        <v>1</v>
      </c>
    </row>
    <row r="48" spans="1:7" x14ac:dyDescent="0.35">
      <c r="A48" s="2" t="s">
        <v>49</v>
      </c>
      <c r="B48" s="2">
        <v>1</v>
      </c>
      <c r="C48" s="2">
        <v>2</v>
      </c>
      <c r="D48" s="2"/>
      <c r="E48" s="2"/>
      <c r="F48" s="2"/>
      <c r="G48" s="2">
        <v>1</v>
      </c>
    </row>
    <row r="49" spans="1:7" x14ac:dyDescent="0.35">
      <c r="A49" s="2" t="s">
        <v>49</v>
      </c>
      <c r="B49" s="2">
        <v>1</v>
      </c>
      <c r="C49" s="2">
        <v>-3</v>
      </c>
      <c r="D49" s="2"/>
      <c r="E49" s="2"/>
      <c r="F49" s="2"/>
      <c r="G49" s="2">
        <v>1</v>
      </c>
    </row>
    <row r="50" spans="1:7" x14ac:dyDescent="0.35">
      <c r="A50" s="2" t="s">
        <v>49</v>
      </c>
      <c r="B50" s="2">
        <v>1</v>
      </c>
      <c r="C50" s="2">
        <v>-4</v>
      </c>
      <c r="D50" s="2"/>
      <c r="E50" s="2"/>
      <c r="F50" s="2"/>
      <c r="G50" s="2">
        <v>1</v>
      </c>
    </row>
    <row r="51" spans="1:7" x14ac:dyDescent="0.35">
      <c r="A51" s="2" t="s">
        <v>49</v>
      </c>
      <c r="B51" s="2">
        <v>1</v>
      </c>
      <c r="C51" s="2">
        <v>-2</v>
      </c>
      <c r="D51" s="2"/>
      <c r="E51" s="2"/>
      <c r="F51" s="2"/>
      <c r="G51" s="2">
        <v>1</v>
      </c>
    </row>
    <row r="52" spans="1:7" x14ac:dyDescent="0.35">
      <c r="A52" s="2" t="s">
        <v>49</v>
      </c>
      <c r="B52" s="2">
        <v>1</v>
      </c>
      <c r="C52" s="2">
        <v>2</v>
      </c>
      <c r="D52" s="2"/>
      <c r="E52" s="2"/>
      <c r="F52" s="2"/>
      <c r="G52" s="2">
        <v>1</v>
      </c>
    </row>
    <row r="53" spans="1:7" x14ac:dyDescent="0.35">
      <c r="A53" s="2" t="s">
        <v>49</v>
      </c>
      <c r="B53" s="2">
        <v>1</v>
      </c>
      <c r="C53" s="2">
        <v>-4</v>
      </c>
      <c r="D53" s="2"/>
      <c r="E53" s="2"/>
      <c r="F53" s="2"/>
      <c r="G53" s="2">
        <v>1</v>
      </c>
    </row>
    <row r="54" spans="1:7" x14ac:dyDescent="0.35">
      <c r="A54" s="2" t="s">
        <v>49</v>
      </c>
      <c r="B54" s="2">
        <v>1</v>
      </c>
      <c r="C54" s="2">
        <v>3</v>
      </c>
      <c r="D54" s="2"/>
      <c r="E54" s="2"/>
      <c r="F54" s="2"/>
      <c r="G54" s="2">
        <v>1</v>
      </c>
    </row>
    <row r="55" spans="1:7" x14ac:dyDescent="0.35">
      <c r="A55" s="2" t="s">
        <v>49</v>
      </c>
      <c r="B55" s="2">
        <v>1</v>
      </c>
      <c r="C55" s="2">
        <v>2</v>
      </c>
      <c r="D55" s="2"/>
      <c r="E55" s="2"/>
      <c r="F55" s="2"/>
      <c r="G55" s="2">
        <v>1</v>
      </c>
    </row>
    <row r="56" spans="1:7" x14ac:dyDescent="0.35">
      <c r="A56" s="2" t="s">
        <v>49</v>
      </c>
      <c r="B56" s="2">
        <v>0</v>
      </c>
      <c r="C56" s="2">
        <v>0</v>
      </c>
      <c r="D56" s="2"/>
      <c r="E56" s="2">
        <v>1</v>
      </c>
      <c r="F56" s="2"/>
      <c r="G56" s="2"/>
    </row>
    <row r="57" spans="1:7" x14ac:dyDescent="0.35">
      <c r="A57" s="2" t="s">
        <v>49</v>
      </c>
      <c r="B57" s="2">
        <v>0</v>
      </c>
      <c r="C57" s="2">
        <v>0</v>
      </c>
      <c r="D57" s="2"/>
      <c r="E57" s="2">
        <v>1</v>
      </c>
      <c r="F57" s="2"/>
      <c r="G57" s="2"/>
    </row>
    <row r="58" spans="1:7" x14ac:dyDescent="0.35">
      <c r="A58" s="2" t="s">
        <v>49</v>
      </c>
      <c r="B58" s="2">
        <v>0</v>
      </c>
      <c r="C58" s="2">
        <v>0</v>
      </c>
      <c r="D58" s="2"/>
      <c r="E58" s="2">
        <v>1</v>
      </c>
      <c r="F58" s="2"/>
      <c r="G58" s="2"/>
    </row>
    <row r="59" spans="1:7" x14ac:dyDescent="0.35">
      <c r="A59" s="2" t="s">
        <v>49</v>
      </c>
      <c r="B59" s="2">
        <v>0</v>
      </c>
      <c r="C59" s="2">
        <v>0</v>
      </c>
      <c r="D59" s="2"/>
      <c r="E59" s="2">
        <v>1</v>
      </c>
      <c r="F59" s="2"/>
      <c r="G59" s="2"/>
    </row>
    <row r="60" spans="1:7" x14ac:dyDescent="0.35">
      <c r="A60" s="2" t="s">
        <v>49</v>
      </c>
      <c r="B60" s="2">
        <v>1</v>
      </c>
      <c r="C60" s="2">
        <v>-2</v>
      </c>
      <c r="D60" s="2"/>
      <c r="E60" s="2"/>
      <c r="F60" s="2"/>
      <c r="G60" s="2">
        <v>1</v>
      </c>
    </row>
    <row r="61" spans="1:7" x14ac:dyDescent="0.35">
      <c r="A61" s="2" t="s">
        <v>49</v>
      </c>
      <c r="B61" s="2">
        <v>0</v>
      </c>
      <c r="C61" s="2">
        <v>0</v>
      </c>
      <c r="D61" s="2"/>
      <c r="E61" s="2">
        <v>1</v>
      </c>
      <c r="F61" s="2"/>
      <c r="G61" s="2"/>
    </row>
    <row r="62" spans="1:7" x14ac:dyDescent="0.35">
      <c r="A62" s="2" t="s">
        <v>49</v>
      </c>
      <c r="B62" s="2">
        <v>0</v>
      </c>
      <c r="C62" s="2">
        <v>0</v>
      </c>
      <c r="D62" s="2"/>
      <c r="E62" s="2">
        <v>1</v>
      </c>
      <c r="F62" s="2"/>
      <c r="G62" s="2"/>
    </row>
    <row r="63" spans="1:7" x14ac:dyDescent="0.35">
      <c r="A63" s="2" t="s">
        <v>49</v>
      </c>
      <c r="B63" s="2">
        <v>0</v>
      </c>
      <c r="C63" s="2">
        <v>0</v>
      </c>
      <c r="D63" s="2"/>
      <c r="E63" s="2">
        <v>1</v>
      </c>
      <c r="F63" s="2"/>
      <c r="G63" s="2"/>
    </row>
    <row r="64" spans="1:7" x14ac:dyDescent="0.35">
      <c r="A64" s="2" t="s">
        <v>49</v>
      </c>
      <c r="B64" s="2">
        <v>0</v>
      </c>
      <c r="C64" s="2">
        <v>0</v>
      </c>
      <c r="D64" s="2"/>
      <c r="E64" s="2">
        <v>1</v>
      </c>
      <c r="F64" s="2"/>
      <c r="G64" s="2"/>
    </row>
    <row r="65" spans="1:7" x14ac:dyDescent="0.35">
      <c r="A65" s="2" t="s">
        <v>49</v>
      </c>
      <c r="B65" s="2">
        <v>1</v>
      </c>
      <c r="C65" s="2">
        <v>-2</v>
      </c>
      <c r="D65" s="2"/>
      <c r="E65" s="2"/>
      <c r="F65" s="2"/>
      <c r="G65" s="2">
        <v>1</v>
      </c>
    </row>
    <row r="66" spans="1:7" x14ac:dyDescent="0.35">
      <c r="A66" s="2" t="s">
        <v>49</v>
      </c>
      <c r="B66" s="2">
        <v>0</v>
      </c>
      <c r="C66" s="2">
        <v>0</v>
      </c>
      <c r="D66" s="2"/>
      <c r="E66" s="2">
        <v>1</v>
      </c>
      <c r="F66" s="2"/>
      <c r="G66" s="2"/>
    </row>
    <row r="67" spans="1:7" x14ac:dyDescent="0.35">
      <c r="A67" s="2" t="s">
        <v>50</v>
      </c>
      <c r="B67" s="2">
        <v>0</v>
      </c>
      <c r="C67" s="2">
        <v>-2</v>
      </c>
      <c r="D67" s="2"/>
      <c r="E67" s="2"/>
      <c r="F67" s="2">
        <v>1</v>
      </c>
      <c r="G67" s="2"/>
    </row>
    <row r="68" spans="1:7" x14ac:dyDescent="0.35">
      <c r="A68" s="2" t="s">
        <v>50</v>
      </c>
      <c r="B68" s="2">
        <v>1</v>
      </c>
      <c r="C68" s="2">
        <v>0</v>
      </c>
      <c r="D68" s="2">
        <v>1</v>
      </c>
      <c r="E68" s="2"/>
      <c r="F68" s="2"/>
      <c r="G68" s="2"/>
    </row>
    <row r="69" spans="1:7" x14ac:dyDescent="0.35">
      <c r="A69" s="2" t="s">
        <v>50</v>
      </c>
      <c r="B69" s="2">
        <v>1</v>
      </c>
      <c r="C69" s="2">
        <v>0</v>
      </c>
      <c r="D69" s="2">
        <v>1</v>
      </c>
      <c r="E69" s="2"/>
      <c r="F69" s="2"/>
      <c r="G69" s="2"/>
    </row>
    <row r="70" spans="1:7" x14ac:dyDescent="0.35">
      <c r="A70" s="2" t="s">
        <v>50</v>
      </c>
      <c r="B70" s="2">
        <v>1</v>
      </c>
      <c r="C70" s="2">
        <v>0</v>
      </c>
      <c r="D70" s="2">
        <v>1</v>
      </c>
      <c r="E70" s="2"/>
      <c r="F70" s="2"/>
      <c r="G70" s="2"/>
    </row>
    <row r="71" spans="1:7" x14ac:dyDescent="0.35">
      <c r="A71" s="2" t="s">
        <v>50</v>
      </c>
      <c r="B71" s="2">
        <v>1</v>
      </c>
      <c r="C71" s="2">
        <v>0</v>
      </c>
      <c r="D71" s="2">
        <v>1</v>
      </c>
      <c r="E71" s="2"/>
      <c r="F71" s="2"/>
      <c r="G71" s="2"/>
    </row>
    <row r="72" spans="1:7" x14ac:dyDescent="0.35">
      <c r="A72" s="2" t="s">
        <v>50</v>
      </c>
      <c r="B72" s="2">
        <v>1</v>
      </c>
      <c r="C72" s="2">
        <v>0</v>
      </c>
      <c r="D72" s="2">
        <v>1</v>
      </c>
      <c r="E72" s="2"/>
      <c r="F72" s="2"/>
      <c r="G72" s="2"/>
    </row>
    <row r="73" spans="1:7" x14ac:dyDescent="0.35">
      <c r="A73" s="2" t="s">
        <v>50</v>
      </c>
      <c r="B73" s="2">
        <v>1</v>
      </c>
      <c r="C73" s="2">
        <v>0</v>
      </c>
      <c r="D73" s="2">
        <v>1</v>
      </c>
      <c r="E73" s="2"/>
      <c r="F73" s="2"/>
      <c r="G73" s="2"/>
    </row>
    <row r="74" spans="1:7" x14ac:dyDescent="0.35">
      <c r="A74" s="2" t="s">
        <v>50</v>
      </c>
      <c r="B74" s="2">
        <v>1</v>
      </c>
      <c r="C74" s="2">
        <v>0</v>
      </c>
      <c r="D74" s="2">
        <v>1</v>
      </c>
      <c r="E74" s="2"/>
      <c r="F74" s="2"/>
      <c r="G74" s="2"/>
    </row>
    <row r="75" spans="1:7" x14ac:dyDescent="0.35">
      <c r="A75" s="2" t="s">
        <v>50</v>
      </c>
      <c r="B75" s="2">
        <v>1</v>
      </c>
      <c r="C75" s="2">
        <v>0</v>
      </c>
      <c r="D75" s="2">
        <v>1</v>
      </c>
      <c r="E75" s="2"/>
      <c r="F75" s="2"/>
      <c r="G75" s="2"/>
    </row>
    <row r="76" spans="1:7" x14ac:dyDescent="0.35">
      <c r="A76" s="2" t="s">
        <v>50</v>
      </c>
      <c r="B76" s="2">
        <v>1</v>
      </c>
      <c r="C76" s="2">
        <v>0</v>
      </c>
      <c r="D76" s="2">
        <v>1</v>
      </c>
      <c r="E76" s="2"/>
      <c r="F76" s="2"/>
      <c r="G76" s="2"/>
    </row>
    <row r="77" spans="1:7" x14ac:dyDescent="0.35">
      <c r="A77" s="2" t="s">
        <v>50</v>
      </c>
      <c r="B77" s="2">
        <v>0</v>
      </c>
      <c r="C77" s="2">
        <v>4</v>
      </c>
      <c r="D77" s="2"/>
      <c r="E77" s="2"/>
      <c r="F77" s="2">
        <v>1</v>
      </c>
      <c r="G77" s="2"/>
    </row>
    <row r="78" spans="1:7" x14ac:dyDescent="0.35">
      <c r="A78" s="2" t="s">
        <v>50</v>
      </c>
      <c r="B78" s="2">
        <v>1</v>
      </c>
      <c r="C78" s="2">
        <v>0</v>
      </c>
      <c r="D78" s="2">
        <v>1</v>
      </c>
      <c r="E78" s="2"/>
      <c r="F78" s="2"/>
      <c r="G78" s="2"/>
    </row>
    <row r="79" spans="1:7" x14ac:dyDescent="0.35">
      <c r="A79" s="2" t="s">
        <v>50</v>
      </c>
      <c r="B79" s="2">
        <v>1</v>
      </c>
      <c r="C79" s="2">
        <v>0</v>
      </c>
      <c r="D79" s="2">
        <v>1</v>
      </c>
      <c r="E79" s="2"/>
      <c r="F79" s="2"/>
      <c r="G79" s="2"/>
    </row>
    <row r="80" spans="1:7" x14ac:dyDescent="0.35">
      <c r="A80" s="2" t="s">
        <v>50</v>
      </c>
      <c r="B80" s="2">
        <v>1</v>
      </c>
      <c r="C80" s="2">
        <v>0</v>
      </c>
      <c r="D80" s="2">
        <v>1</v>
      </c>
      <c r="E80" s="2"/>
      <c r="F80" s="2"/>
      <c r="G80" s="2"/>
    </row>
    <row r="81" spans="1:7" x14ac:dyDescent="0.35">
      <c r="A81" s="2" t="s">
        <v>50</v>
      </c>
      <c r="B81" s="2">
        <v>1</v>
      </c>
      <c r="C81" s="2">
        <v>0</v>
      </c>
      <c r="D81" s="2">
        <v>1</v>
      </c>
      <c r="E81" s="2"/>
      <c r="F81" s="2"/>
      <c r="G81" s="2"/>
    </row>
    <row r="82" spans="1:7" x14ac:dyDescent="0.35">
      <c r="A82" s="2" t="s">
        <v>50</v>
      </c>
      <c r="B82" s="2">
        <v>1</v>
      </c>
      <c r="C82" s="2">
        <v>0</v>
      </c>
      <c r="D82" s="2">
        <v>1</v>
      </c>
      <c r="E82" s="2"/>
      <c r="F82" s="2"/>
      <c r="G82" s="2"/>
    </row>
    <row r="83" spans="1:7" x14ac:dyDescent="0.35">
      <c r="A83" s="2" t="s">
        <v>50</v>
      </c>
      <c r="B83" s="2">
        <v>0</v>
      </c>
      <c r="C83" s="2">
        <v>2</v>
      </c>
      <c r="D83" s="2"/>
      <c r="E83" s="2"/>
      <c r="F83" s="2">
        <v>1</v>
      </c>
      <c r="G83" s="2"/>
    </row>
    <row r="84" spans="1:7" x14ac:dyDescent="0.35">
      <c r="A84" s="2" t="s">
        <v>50</v>
      </c>
      <c r="B84" s="2">
        <v>1</v>
      </c>
      <c r="C84" s="2">
        <v>0</v>
      </c>
      <c r="D84" s="2">
        <v>1</v>
      </c>
      <c r="E84" s="2"/>
      <c r="F84" s="2"/>
      <c r="G84" s="2"/>
    </row>
    <row r="85" spans="1:7" x14ac:dyDescent="0.35">
      <c r="A85" s="2" t="s">
        <v>50</v>
      </c>
      <c r="B85" s="2">
        <v>1</v>
      </c>
      <c r="C85" s="2">
        <v>0</v>
      </c>
      <c r="D85" s="2">
        <v>1</v>
      </c>
      <c r="E85" s="2"/>
      <c r="F85" s="2"/>
      <c r="G85" s="2"/>
    </row>
    <row r="86" spans="1:7" x14ac:dyDescent="0.35">
      <c r="A86" s="2" t="s">
        <v>50</v>
      </c>
      <c r="B86" s="2">
        <v>1</v>
      </c>
      <c r="C86" s="2">
        <v>0</v>
      </c>
      <c r="D86" s="2">
        <v>1</v>
      </c>
      <c r="E86" s="2"/>
      <c r="F86" s="2"/>
      <c r="G86" s="2"/>
    </row>
    <row r="87" spans="1:7" x14ac:dyDescent="0.35">
      <c r="A87" s="2" t="s">
        <v>50</v>
      </c>
      <c r="B87" s="2">
        <v>1</v>
      </c>
      <c r="C87" s="2">
        <v>0</v>
      </c>
      <c r="D87" s="2">
        <v>1</v>
      </c>
      <c r="E87" s="2"/>
      <c r="F87" s="2"/>
      <c r="G87" s="2"/>
    </row>
    <row r="88" spans="1:7" x14ac:dyDescent="0.35">
      <c r="A88" s="2" t="s">
        <v>50</v>
      </c>
      <c r="B88" s="2">
        <v>1</v>
      </c>
      <c r="C88" s="2">
        <v>0</v>
      </c>
      <c r="D88" s="2">
        <v>1</v>
      </c>
      <c r="E88" s="2"/>
      <c r="F88" s="2"/>
      <c r="G88" s="2"/>
    </row>
    <row r="89" spans="1:7" x14ac:dyDescent="0.35">
      <c r="A89" s="2" t="s">
        <v>50</v>
      </c>
      <c r="B89" s="2">
        <v>0</v>
      </c>
      <c r="C89" s="2">
        <v>3</v>
      </c>
      <c r="D89" s="2"/>
      <c r="E89" s="2"/>
      <c r="F89" s="2">
        <v>1</v>
      </c>
      <c r="G89" s="2"/>
    </row>
    <row r="90" spans="1:7" x14ac:dyDescent="0.35">
      <c r="A90" s="2" t="s">
        <v>50</v>
      </c>
      <c r="B90" s="2">
        <v>1</v>
      </c>
      <c r="C90" s="2">
        <v>0</v>
      </c>
      <c r="D90" s="2">
        <v>1</v>
      </c>
      <c r="E90" s="2"/>
      <c r="F90" s="2"/>
      <c r="G90" s="2"/>
    </row>
    <row r="91" spans="1:7" x14ac:dyDescent="0.35">
      <c r="A91" s="2" t="s">
        <v>50</v>
      </c>
      <c r="B91" s="2">
        <v>0</v>
      </c>
      <c r="C91" s="2">
        <v>-2</v>
      </c>
      <c r="D91" s="2"/>
      <c r="E91" s="2"/>
      <c r="F91" s="2">
        <v>1</v>
      </c>
      <c r="G91" s="2"/>
    </row>
    <row r="92" spans="1:7" x14ac:dyDescent="0.35">
      <c r="A92" s="2" t="s">
        <v>50</v>
      </c>
      <c r="B92" s="2">
        <v>0</v>
      </c>
      <c r="C92" s="2">
        <v>2</v>
      </c>
      <c r="D92" s="2"/>
      <c r="E92" s="2"/>
      <c r="F92" s="2">
        <v>1</v>
      </c>
      <c r="G92" s="2"/>
    </row>
    <row r="93" spans="1:7" x14ac:dyDescent="0.35">
      <c r="A93" s="2" t="s">
        <v>50</v>
      </c>
      <c r="B93" s="2">
        <v>1</v>
      </c>
      <c r="C93" s="2">
        <v>0</v>
      </c>
      <c r="D93" s="2">
        <v>1</v>
      </c>
      <c r="E93" s="2"/>
      <c r="F93" s="2"/>
      <c r="G93" s="2"/>
    </row>
    <row r="94" spans="1:7" x14ac:dyDescent="0.35">
      <c r="A94" s="2" t="s">
        <v>50</v>
      </c>
      <c r="B94" s="2">
        <v>1</v>
      </c>
      <c r="C94" s="2">
        <v>0</v>
      </c>
      <c r="D94" s="2">
        <v>1</v>
      </c>
      <c r="E94" s="2"/>
      <c r="F94" s="2"/>
      <c r="G94" s="2"/>
    </row>
    <row r="95" spans="1:7" x14ac:dyDescent="0.35">
      <c r="A95" s="2" t="s">
        <v>50</v>
      </c>
      <c r="B95" s="2">
        <v>1</v>
      </c>
      <c r="C95" s="2">
        <v>0</v>
      </c>
      <c r="D95" s="2">
        <v>1</v>
      </c>
      <c r="E95" s="2"/>
      <c r="F95" s="2"/>
      <c r="G95" s="2"/>
    </row>
    <row r="96" spans="1:7" x14ac:dyDescent="0.35">
      <c r="A96" s="2" t="s">
        <v>50</v>
      </c>
      <c r="B96" s="2">
        <v>0</v>
      </c>
      <c r="C96" s="2">
        <v>-2</v>
      </c>
      <c r="D96" s="2"/>
      <c r="E96" s="2"/>
      <c r="F96" s="2">
        <v>1</v>
      </c>
      <c r="G96" s="2"/>
    </row>
    <row r="97" spans="1:7" x14ac:dyDescent="0.35">
      <c r="A97" s="2" t="s">
        <v>50</v>
      </c>
      <c r="B97" s="2">
        <v>1</v>
      </c>
      <c r="C97" s="2">
        <v>0</v>
      </c>
      <c r="D97" s="2">
        <v>1</v>
      </c>
      <c r="E97" s="2"/>
      <c r="F97" s="2"/>
      <c r="G97" s="2"/>
    </row>
    <row r="98" spans="1:7" x14ac:dyDescent="0.35">
      <c r="A98" s="2" t="s">
        <v>50</v>
      </c>
      <c r="B98" s="2">
        <v>1</v>
      </c>
      <c r="C98" s="2">
        <v>0</v>
      </c>
      <c r="D98" s="2">
        <v>1</v>
      </c>
      <c r="E98" s="2"/>
      <c r="F98" s="2"/>
      <c r="G98" s="2"/>
    </row>
    <row r="99" spans="1:7" x14ac:dyDescent="0.35">
      <c r="A99" s="2" t="s">
        <v>50</v>
      </c>
      <c r="B99" s="2">
        <v>0</v>
      </c>
      <c r="C99" s="2">
        <v>2</v>
      </c>
      <c r="D99" s="2"/>
      <c r="E99" s="2"/>
      <c r="F99" s="2">
        <v>1</v>
      </c>
      <c r="G99" s="2"/>
    </row>
    <row r="100" spans="1:7" x14ac:dyDescent="0.35">
      <c r="A100" s="2" t="s">
        <v>50</v>
      </c>
      <c r="B100" s="2">
        <v>0</v>
      </c>
      <c r="C100" s="2">
        <v>2</v>
      </c>
      <c r="D100" s="2"/>
      <c r="E100" s="2"/>
      <c r="F100" s="2">
        <v>1</v>
      </c>
      <c r="G100" s="2"/>
    </row>
    <row r="101" spans="1:7" x14ac:dyDescent="0.35">
      <c r="A101" s="2" t="s">
        <v>50</v>
      </c>
      <c r="B101" s="2">
        <v>0</v>
      </c>
      <c r="C101" s="2">
        <v>2</v>
      </c>
      <c r="D101" s="2"/>
      <c r="E101" s="2"/>
      <c r="F101" s="2">
        <v>1</v>
      </c>
      <c r="G101" s="2"/>
    </row>
  </sheetData>
  <sortState xmlns:xlrd2="http://schemas.microsoft.com/office/spreadsheetml/2017/richdata2" ref="A2:C103">
    <sortCondition ref="A1:A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Heer Mankad</dc:creator>
  <cp:lastModifiedBy>Heer Mankad</cp:lastModifiedBy>
  <dcterms:created xsi:type="dcterms:W3CDTF">2025-09-09T10:55:39Z</dcterms:created>
  <dcterms:modified xsi:type="dcterms:W3CDTF">2025-09-11T15:59:09Z</dcterms:modified>
</cp:coreProperties>
</file>